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404"/>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inlineStr">
        <is>
          <t>[14 Sep 2026] Still Backlog and still unbuilt. NOTE: the /reports route currently renders the Hotel Ledger Report (SCR-131, US-131-01..03), so the path looks accounted for while this screen -- a dashboard OF reports, mockup 027 -- does not exist. Do not read a working /reports as this story being delivered.
[14 Sep 2026, later] SUPERSEDES THE NOTE ABOVE: /reports no longer renders the Hotel Ledger. It is now the Back Office Reports catalog (SCR-132, US-132-01..03), listing every report of the back-office design with all 39 live; the ledger moved to /reports/ledger. A catalog of reports is not the mockup-027 dashboard, so this story's status is left unchanged.</t>
        </is>
      </c>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AT THE TIME, RESOLVED LATER THE SAME DAY (see below):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AT THE TIME, RESOLVED LATER THE SAME DAY (see below): which one is right is a product decision about whether a room mid-clean is sellable.
[14 Sep 2026 availability resolved] RESOLVED. The 4-vs-12 mismatch was not the pair of numbers -- vacant (no guest) and available-to-sell (vacant AND clean) are different things a hotel needs both of, and collapsing them to one figure would lose that. What was broken is that the Stayview housekeeping chip counted only hk_status='dirty' while all eight of Lekhana's rooms are 'cleaning', so the chip that should have accounted for the gap read zero and nothing on that screen explained how twelve empty rooms left four to sell. The dashboard has always counted the pair. Stayview now counts IN ('dirty','cleaning') and the chip is named for what it holds -- Not ready -- since a room being cleaned is not dirty. 'vacant' is deliberately NOT reduced by it: a vacant dirty room is still vacant, it is simply not sellable yet. Verified across all three screens: Stayview vacant 12 / not ready 8, Dashboard available 4 / cleaning 8, Today's Rack available 4 / not ready 8 -- 12 - 8 = 4 reconciles. Today's Rack needed no change; it already bucketed both states correctly. RESIDUAL FRAGILITY, NOT FIXED: the dashboard reads operations.room_condition.cleanliness and Stayview reads the latest operations.room_status_events.status -- two tables for one fact. They agree today (both report 8 cleaning, checked) but nothing keeps them in step; deriving one from the other is a larger change than this.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row r="395">
      <c r="A395" t="n">
        <v>1</v>
      </c>
      <c r="B395" t="n">
        <v>391</v>
      </c>
      <c r="C395" t="inlineStr">
        <is>
          <t>US-131-01</t>
        </is>
      </c>
      <c r="D395" t="inlineStr">
        <is>
          <t>View and find information in Hotel Ledger Report</t>
        </is>
      </c>
      <c r="E395" t="inlineStr">
        <is>
          <t>EPIC-16</t>
        </is>
      </c>
      <c r="F395" t="inlineStr">
        <is>
          <t>Finance</t>
        </is>
      </c>
      <c r="G395" t="inlineStr">
        <is>
          <t>Revenue Reporting</t>
        </is>
      </c>
      <c r="H395" t="inlineStr">
        <is>
          <t>SCR-131</t>
        </is>
      </c>
      <c r="I395" t="inlineStr">
        <is>
          <t>Hotel Ledger Report</t>
        </is>
      </c>
      <c r="J395" t="inlineStr">
        <is>
          <t>View / Search</t>
        </is>
      </c>
      <c r="K395" t="inlineStr">
        <is>
          <t>Finance Manager</t>
        </is>
      </c>
      <c r="L395" t="inlineStr">
        <is>
          <t>As a Finance Manager, I want to open the Hotel Ledger Report and find the balances behind any window of business dates using filters, tabs and search</t>
        </is>
      </c>
      <c r="M395" t="inlineStr">
        <is>
          <t>Gives one reconcilable statement of what the property is owed and what it holds, replacing per-folio arithmetic at month end.</t>
        </is>
      </c>
      <c r="N395" t="inlineStr">
        <is>
          <t>Authenticated user; active property; reports.view permission; folio entries posted for the window.</t>
        </is>
      </c>
      <c r="O395" t="inlineStr">
        <is>
          <t>Given I am authenticated with reports.view on the selected property, when I open the Hotel Ledger Report, then the summary shows Opening, Debit, Credit and Closing per ledger (Guest, Deposit, City/AR, Package) plus a Hotel Balance total, and the tie check states whether closing = opening + debits - credits; and the default window ends on the property's OPEN BUSINESS DATE, not the server's calendar date, so entries posted into the open day are visible.</t>
        </is>
      </c>
      <c r="P395" t="inlineStr">
        <is>
          <t>A ledger nothing writes to is greyed with the reason rather than shown as a row of zeroes; an empty account list distinguishes 'all settled' from 'never used' and names any other ledger still open; a window with no movement still shows opening balances.</t>
        </is>
      </c>
      <c r="R395" t="inlineStr">
        <is>
          <t>All revenue modules</t>
        </is>
      </c>
      <c r="S395" t="inlineStr">
        <is>
          <t>GET /api/v1/reports/ledger (property_id, date_from, date_to, ledger_type, q, confirmation_no, folio_no, room, transaction_code, payment_method, market, limit); reads finance.folio_entries, finance.folios, booking.reservations, engagement.guests.</t>
        </is>
      </c>
      <c r="T395" t="inlineStr">
        <is>
          <t>Must Have</t>
        </is>
      </c>
      <c r="U395" t="inlineStr">
        <is>
          <t>MVP</t>
        </is>
      </c>
      <c r="V395" t="n">
        <v>5</v>
      </c>
      <c r="W395" t="inlineStr">
        <is>
          <t>S05-S07</t>
        </is>
      </c>
      <c r="X395" t="inlineStr">
        <is>
          <t>Done</t>
        </is>
      </c>
      <c r="Y395" t="n">
        <v>1</v>
      </c>
      <c r="Z395" t="inlineStr">
        <is>
          <t>None</t>
        </is>
      </c>
      <c r="AA395" t="inlineStr">
        <is>
          <t>TC-131-A</t>
        </is>
      </c>
      <c r="AB395" t="inlineStr">
        <is>
          <t>Approved screen design; story reviewed with Finance Manager; dependencies, API contract, role permissions and test data identified.</t>
        </is>
      </c>
      <c r="AD395" t="inlineStr">
        <is>
          <t>BUILT AND VERIFIED 13-14 Sep 2026, live at /reports/ledger (and at /reports, which currently has no Reports Dashboard behind it). Summary grid per ledger with a tinted Hotel Balance row and a tie panel; five tabs (four ledgers + Transactions) with counts; ten-field filter panel with Run Report / Reset; paginated account table; guest detail drawer; CSV export. Ledger availability is measured from the data over all time, not hard-coded -- the City/AR and Package tabs were previously greyed permanently and would have stayed grey after a tenant created a commercial account. DEFECTS FOUND AND FIXED IN THIS SCREEN: (1) the default window ended on date.today() in UTC, which after 18:30 is already tomorrow in Chirala and, once the business date ran ahead of the calendar, hid every entry posted into the open day -- a hotel balance of -59,224 was shown for money already refunded; it now ends on the open business date. (2) Opening balances ignored every filter while the movements applied them all, so filtering to one reservation showed its movements on top of the whole property's opening -- CBRB7192D71 read -50,224 against a folio at zero, and 'Figures tie' stayed green because the check compares four numbers drawn from the same mismatched pair. (3) The Transactions balance column was one accumulator running down the whole list, adding one guest's account to the next; it is now that folio's balance, computed over the folio's whole history so filtering or paging changes which rows you see, never what they say. (4) The tab badge showed movement count when unselected and outstanding count once clicked -- 18 became 0 on click; both now show outstanding accounts.</t>
        </is>
      </c>
    </row>
    <row r="396">
      <c r="A396" t="n">
        <v>1</v>
      </c>
      <c r="B396" t="n">
        <v>392</v>
      </c>
      <c r="C396" t="inlineStr">
        <is>
          <t>US-131-02</t>
        </is>
      </c>
      <c r="D396" t="inlineStr">
        <is>
          <t>Complete the primary Hotel Ledger Report workflow</t>
        </is>
      </c>
      <c r="E396" t="inlineStr">
        <is>
          <t>EPIC-16</t>
        </is>
      </c>
      <c r="F396" t="inlineStr">
        <is>
          <t>Finance</t>
        </is>
      </c>
      <c r="G396" t="inlineStr">
        <is>
          <t>Revenue Reporting</t>
        </is>
      </c>
      <c r="H396" t="inlineStr">
        <is>
          <t>SCR-131</t>
        </is>
      </c>
      <c r="I396" t="inlineStr">
        <is>
          <t>Hotel Ledger Report</t>
        </is>
      </c>
      <c r="J396" t="inlineStr">
        <is>
          <t>Primary Workflow</t>
        </is>
      </c>
      <c r="K396" t="inlineStr">
        <is>
          <t>Finance Manager</t>
        </is>
      </c>
      <c r="L396" t="inlineStr">
        <is>
          <t>As a Finance Manager, I want to narrow the ledger to a guest, folio, room, payment method or date range and read the resulting balances and transactions, then export them</t>
        </is>
      </c>
      <c r="M396" t="inlineStr">
        <is>
          <t>Turns a month-end reconciliation from per-folio arithmetic into a filtered statement that can be tied to the summary above it.</t>
        </is>
      </c>
      <c r="N396" t="inlineStr">
        <is>
          <t>View access confirmed; folio entries exist for the chosen window.</t>
        </is>
      </c>
      <c r="O396" t="inlineStr">
        <is>
          <t>Given a filter is applied, when the report is run, then opening, movements, closing, the account list and the transaction journal all describe the SAME population; and the journal footer totals Debit and Credit so the rows can be tied to the Hotel Balance line above without adding them by hand.</t>
        </is>
      </c>
      <c r="P396" t="inlineStr">
        <is>
          <t>A truncated journal states that its total is partial rather than presenting a partial sum as the total; no total is shown under Folio Balance, because those figures belong to different accounts and summing them produces a number that is nobody's; a deposit refund is classified into the ledger it came from, not the guest ledger.</t>
        </is>
      </c>
      <c r="R396" t="inlineStr">
        <is>
          <t>All revenue modules</t>
        </is>
      </c>
      <c r="S396" t="inlineStr">
        <is>
          <t>GET /api/v1/reports/ledger with filter parameters; CSV export is client-side from the same payload, so the file and the screen cannot disagree.</t>
        </is>
      </c>
      <c r="T396" t="inlineStr">
        <is>
          <t>Must Have</t>
        </is>
      </c>
      <c r="U396" t="inlineStr">
        <is>
          <t>MVP</t>
        </is>
      </c>
      <c r="V396" t="n">
        <v>5</v>
      </c>
      <c r="W396" t="inlineStr">
        <is>
          <t>S05-S07</t>
        </is>
      </c>
      <c r="X396" t="inlineStr">
        <is>
          <t>Done</t>
        </is>
      </c>
      <c r="Y396" t="n">
        <v>1</v>
      </c>
      <c r="Z396" t="inlineStr">
        <is>
          <t>None</t>
        </is>
      </c>
      <c r="AA396" t="inlineStr">
        <is>
          <t>TC-131-B</t>
        </is>
      </c>
      <c r="AB396" t="inlineStr">
        <is>
          <t>Approved screen design; story reviewed with Finance Manager; dependencies, API contract, role permissions and test data identified.</t>
        </is>
      </c>
      <c r="AD396" t="inlineStr">
        <is>
          <t>Verified on live Lekhana data after the 14 Sep fixes: unfiltered, Guest 105,224/105,224/0, Deposit 15,000/15,000/0, Hotel Balance 120,224/120,224/0, ties true, 54 transactions; filtered to CBRB7192D71 on 14 Sep, Guest opening -4,000 debit 4,000 closing 0 and Deposit opening -5,000 debit 5,000 closing 0, hotel closing 0, matching that reservation's folio exactly. LEDGER SCOPES NOW PARTITION rather than overlap: package is a property of the reservation, not the folio, so a guest folio on a package satisfied both the guest and package scopes and Hotel Balance -- their plain sum -- counted it twice; a 1,000 package charge produced a 2,000 hotel total and the tie check could not detect it. Precedence is now deposit, city, package, guest, each excluding the ones above; verified that all 65 live entries classify to exactly one scope, none to two, none to none. Deposit refunds classify back to the deposit ledger (matched through the refund to the payment to that payment's own entry, per entry rather than per folio, because one folio held both a card refund and a deposit refund on the same day). NOT BUILT, deliberately: Save Filter from the mockup needs a saved-views table that does not exist, and a dead control would be worse than none.</t>
        </is>
      </c>
    </row>
    <row r="397">
      <c r="A397" t="n">
        <v>1</v>
      </c>
      <c r="B397" t="n">
        <v>393</v>
      </c>
      <c r="C397" t="inlineStr">
        <is>
          <t>US-131-03</t>
        </is>
      </c>
      <c r="D397" t="inlineStr">
        <is>
          <t>Control permissions, overrides and exceptions in Hotel Ledger Report</t>
        </is>
      </c>
      <c r="E397" t="inlineStr">
        <is>
          <t>EPIC-16</t>
        </is>
      </c>
      <c r="F397" t="inlineStr">
        <is>
          <t>Finance</t>
        </is>
      </c>
      <c r="G397" t="inlineStr">
        <is>
          <t>Revenue Reporting</t>
        </is>
      </c>
      <c r="H397" t="inlineStr">
        <is>
          <t>SCR-131</t>
        </is>
      </c>
      <c r="I397" t="inlineStr">
        <is>
          <t>Hotel Ledger Report</t>
        </is>
      </c>
      <c r="J397" t="inlineStr">
        <is>
          <t>Security / Exceptions</t>
        </is>
      </c>
      <c r="K397" t="inlineStr">
        <is>
          <t>Finance Manager</t>
        </is>
      </c>
      <c r="L397" t="inlineStr">
        <is>
          <t>As a department supervisor, I want the ledger report to refuse callers without reporting rights and to refuse any request for another tenant's figures</t>
        </is>
      </c>
      <c r="M397" t="inlineStr">
        <is>
          <t>A ledger is the whole property's financial position, including what other guests still owe; it is not a screen every role should open.</t>
        </is>
      </c>
      <c r="N397" t="inlineStr">
        <is>
          <t>Roles, permissions and tenant scoping configured.</t>
        </is>
      </c>
      <c r="O397" t="inlineStr">
        <is>
          <t>Given a user lacks reports.view, when they request the ledger, then it is refused 403 and no figures are returned; and given a caller names a property outside their organisation, then it is refused 403 whether the tenant is supplied as a parameter or implied by a credential.</t>
        </is>
      </c>
      <c r="P397" t="inlineStr">
        <is>
          <t>Cross-tenant reads refused rather than returned empty; a service credential is held to the organisation it names; malformed dates are rejected by validation rather than silently defaulted.</t>
        </is>
      </c>
      <c r="R397" t="inlineStr">
        <is>
          <t>All revenue modules</t>
        </is>
      </c>
      <c r="S397" t="inlineStr">
        <is>
          <t>require_permission('reports','view') + assert_property_in_org on GET /api/v1/reports/ledger; guard_request_tenancy runs inside the permission dependency.</t>
        </is>
      </c>
      <c r="T397" t="inlineStr">
        <is>
          <t>Must Have</t>
        </is>
      </c>
      <c r="U397" t="inlineStr">
        <is>
          <t>MVP</t>
        </is>
      </c>
      <c r="V397" t="n">
        <v>3</v>
      </c>
      <c r="W397" t="inlineStr">
        <is>
          <t>S05-S07</t>
        </is>
      </c>
      <c r="X397" t="inlineStr">
        <is>
          <t>QA</t>
        </is>
      </c>
      <c r="Y397" t="n">
        <v>0.9</v>
      </c>
      <c r="Z397" t="inlineStr">
        <is>
          <t>None</t>
        </is>
      </c>
      <c r="AA397" t="inlineStr">
        <is>
          <t>TC-131-C</t>
        </is>
      </c>
      <c r="AB397" t="inlineStr">
        <is>
          <t>Approved screen design; story reviewed with Finance Manager; dependencies, API contract, role permissions and test data identified.</t>
        </is>
      </c>
      <c r="AD397" t="inlineStr">
        <is>
          <t>RBAC: iam 0022_reports_grants had to be written before this screen worked at all -- all seven 'reports' permission rows had existed since the catalogue was seeded and were granted to NO role, including the role literally named Reports, so the report 403'd for every user in every tenant the first time it was opened. Granted to Reports and Resort Manager (view/export) and to Administrator and Property IT Administrator (all). Front Desk and Reservations are deliberately absent: a ledger is the property's whole position, not one guest's bill. TENANCY: verified refused 403 cross-tenant. The guard now runs inside the permission dependency rather than as a line each route must remember -- across the three services 52 handlers accepted a tenant and never checked it, including this one's neighbours. WHY QA AND NOT DONE: the report has never been exercised with a second tenant's entries present in the same date window. Isolation is proved at the endpoint (403) and by construction (property-scoped predicates), but not by reading a mixed ledger and confirming the other tenant's figures are absent from the totals. Until that is done this is verified, not demonstrated.</t>
        </is>
      </c>
    </row>
    <row r="398">
      <c r="A398" t="n">
        <v>1</v>
      </c>
      <c r="B398" t="n">
        <v>394</v>
      </c>
      <c r="C398" t="inlineStr">
        <is>
          <t>US-132-01</t>
        </is>
      </c>
      <c r="D398" t="inlineStr">
        <is>
          <t>View and find information in Back Office Reports</t>
        </is>
      </c>
      <c r="E398" t="inlineStr">
        <is>
          <t>EPIC-20</t>
        </is>
      </c>
      <c r="F398" t="inlineStr">
        <is>
          <t>Analytics</t>
        </is>
      </c>
      <c r="G398" t="inlineStr">
        <is>
          <t>Management Reports</t>
        </is>
      </c>
      <c r="H398" t="inlineStr">
        <is>
          <t>SCR-132</t>
        </is>
      </c>
      <c r="I398" t="inlineStr">
        <is>
          <t>Back Office Reports</t>
        </is>
      </c>
      <c r="J398" t="inlineStr">
        <is>
          <t>View / Search</t>
        </is>
      </c>
      <c r="K398" t="inlineStr">
        <is>
          <t>Finance Manager</t>
        </is>
      </c>
      <c r="L398" t="inlineStr">
        <is>
          <t>As a Finance Manager, I want one catalog of every back-office report, searchable and grouped by category, and to open any report on this property's live data</t>
        </is>
      </c>
      <c r="M398" t="inlineStr">
        <is>
          <t>Replaces 39 separate exports with one place that reads the same records the operational screens do.</t>
        </is>
      </c>
      <c r="N398" t="inlineStr">
        <is>
          <t>Authenticated user; active property; reports.view permission.</t>
        </is>
      </c>
      <c r="O398" t="inlineStr">
        <is>
          <t>Given I open /reports, then all 39 reports of the back-office design and the Hotel Ledger are listed by category with search and favourites; when I open one, then it runs for the property's open business date by default and shows metric tiles, a table with totals and the basis of every figure.</t>
        </is>
      </c>
      <c r="P398" t="inlineStr">
        <is>
          <t>A report with no data says why (e.g. no invoice issued yet) rather than showing zeroes; windows over 366 days and an end date before the start are refused.</t>
        </is>
      </c>
      <c r="R398" t="inlineStr">
        <is>
          <t>Finance, Reservations, Housekeeping</t>
        </is>
      </c>
      <c r="S398" t="inlineStr">
        <is>
          <t>GET /api/finance/reports/backoffice (catalog); GET /api/finance/reports/backoffice/{slug} (property_id, date_from, date_to, report parameters). One engine: each report is a definition plus one query.</t>
        </is>
      </c>
      <c r="T398" t="inlineStr">
        <is>
          <t>Must Have</t>
        </is>
      </c>
      <c r="U398" t="inlineStr">
        <is>
          <t>MVP</t>
        </is>
      </c>
      <c r="V398" t="n">
        <v>8</v>
      </c>
      <c r="W398" t="inlineStr">
        <is>
          <t>S05-S07</t>
        </is>
      </c>
      <c r="X398" t="inlineStr">
        <is>
          <t>Done</t>
        </is>
      </c>
      <c r="Y398">
        <f>IF(X398="Done",1,IF(X398="QA",0.9,IF(X398="Code Review",0.75,IF(X398="In Development",0.5,IF(X398="Ready",0.1,0)))))</f>
        <v/>
      </c>
      <c r="Z398" t="inlineStr">
        <is>
          <t>None</t>
        </is>
      </c>
      <c r="AA398" t="inlineStr">
        <is>
          <t>TC-132-A</t>
        </is>
      </c>
      <c r="AB398" t="inlineStr">
        <is>
          <t>Approved screen design; story reviewed with Finance Manager; dependencies, API contract, role permissions and test data identified.</t>
        </is>
      </c>
      <c r="AD398" t="inlineStr">
        <is>
          <t>BUILT AND VERIFIED 14 Sep 2026. All 39 reports live. Cross-checked on Lekhana 1-14 Sep: Daily Revenue = Detail Revenue (61,000); Receipt Summary = Receipt Detail (1,20,224); Transaction Detail debits/credits = Hotel Ledger; Folio List balance = Guest Ledger closing; room revenue identical across the four room reports (22,000). Reports with empty tables verified against seeded data in a rolled-back transaction: ageing buckets, GST CGST/SGST split and credit note, 10% commission, out-of-order nights removed from occupancy, half-board covers, owner statement arithmetic, work-order overdue as of a date. DECISIONS: Police Inquiry List masks ID numbers to the last four characters; Cashier Sales omits sales before tax (charges carry no cashier); card fees are not recorded so card amounts are gross; half board counted as breakfast + dinner; complimentary stays are derived (zero rate, charges adjusted off, complimentary upgrade) because no complimentary flag exists.</t>
        </is>
      </c>
    </row>
    <row r="399">
      <c r="A399" t="n">
        <v>1</v>
      </c>
      <c r="B399" t="n">
        <v>395</v>
      </c>
      <c r="C399" t="inlineStr">
        <is>
          <t>US-132-02</t>
        </is>
      </c>
      <c r="D399" t="inlineStr">
        <is>
          <t>Complete the primary Back Office Reports workflow</t>
        </is>
      </c>
      <c r="E399" t="inlineStr">
        <is>
          <t>EPIC-20</t>
        </is>
      </c>
      <c r="F399" t="inlineStr">
        <is>
          <t>Analytics</t>
        </is>
      </c>
      <c r="G399" t="inlineStr">
        <is>
          <t>Management Reports</t>
        </is>
      </c>
      <c r="H399" t="inlineStr">
        <is>
          <t>SCR-132</t>
        </is>
      </c>
      <c r="I399" t="inlineStr">
        <is>
          <t>Back Office Reports</t>
        </is>
      </c>
      <c r="J399" t="inlineStr">
        <is>
          <t>Primary Workflow</t>
        </is>
      </c>
      <c r="K399" t="inlineStr">
        <is>
          <t>Finance Manager</t>
        </is>
      </c>
      <c r="L399" t="inlineStr">
        <is>
          <t>As a Finance Manager, I want to change the dates, narrow by the report's own filters, choose columns, inspect a record and export or print what I see</t>
        </is>
      </c>
      <c r="M399" t="inlineStr">
        <is>
          <t>Month-end and night-audit checks become a filtered, exportable statement instead of spreadsheet work.</t>
        </is>
      </c>
      <c r="N399" t="inlineStr">
        <is>
          <t>View access confirmed.</t>
        </is>
      </c>
      <c r="O399" t="inlineStr">
        <is>
          <t>Given a report is open, when I set dates and filters and run it, then tiles, table and totals describe exactly the rows shown; the CSV contains the visible columns with figures as numbers; a row opens a drawer with every field and links to its folio and reservation.</t>
        </is>
      </c>
      <c r="P399" t="inlineStr">
        <is>
          <t>Column filters never change the server query; totals are never computed over hidden rows.</t>
        </is>
      </c>
      <c r="R399" t="inlineStr">
        <is>
          <t>Finance, Reservations, Housekeeping</t>
        </is>
      </c>
      <c r="S399" t="inlineStr">
        <is>
          <t>Same endpoints; CSV and print are client-side from the payload.</t>
        </is>
      </c>
      <c r="T399" t="inlineStr">
        <is>
          <t>Must Have</t>
        </is>
      </c>
      <c r="U399" t="inlineStr">
        <is>
          <t>MVP</t>
        </is>
      </c>
      <c r="V399" t="n">
        <v>5</v>
      </c>
      <c r="W399" t="inlineStr">
        <is>
          <t>S05-S07</t>
        </is>
      </c>
      <c r="X399" t="inlineStr">
        <is>
          <t>Done</t>
        </is>
      </c>
      <c r="Y399">
        <f>IF(X399="Done",1,IF(X399="QA",0.9,IF(X399="Code Review",0.75,IF(X399="In Development",0.5,IF(X399="Ready",0.1,0)))))</f>
        <v/>
      </c>
      <c r="Z399" t="inlineStr">
        <is>
          <t>None</t>
        </is>
      </c>
      <c r="AA399" t="inlineStr">
        <is>
          <t>TC-132-B</t>
        </is>
      </c>
      <c r="AB399" t="inlineStr">
        <is>
          <t>Approved screen design; story reviewed with Finance Manager; dependencies, API contract, role permissions and test data identified.</t>
        </is>
      </c>
      <c r="AD399" t="inlineStr">
        <is>
          <t>Verified in the browser 14 Sep 2026; no console errors.</t>
        </is>
      </c>
    </row>
    <row r="400">
      <c r="A400" t="n">
        <v>1</v>
      </c>
      <c r="B400" t="n">
        <v>396</v>
      </c>
      <c r="C400" t="inlineStr">
        <is>
          <t>US-132-03</t>
        </is>
      </c>
      <c r="D400" t="inlineStr">
        <is>
          <t>Control permissions, overrides and exceptions in Back Office Reports</t>
        </is>
      </c>
      <c r="E400" t="inlineStr">
        <is>
          <t>EPIC-20</t>
        </is>
      </c>
      <c r="F400" t="inlineStr">
        <is>
          <t>Analytics</t>
        </is>
      </c>
      <c r="G400" t="inlineStr">
        <is>
          <t>Management Reports</t>
        </is>
      </c>
      <c r="H400" t="inlineStr">
        <is>
          <t>SCR-132</t>
        </is>
      </c>
      <c r="I400" t="inlineStr">
        <is>
          <t>Back Office Reports</t>
        </is>
      </c>
      <c r="J400" t="inlineStr">
        <is>
          <t>Security / Exceptions</t>
        </is>
      </c>
      <c r="K400" t="inlineStr">
        <is>
          <t>Finance Manager</t>
        </is>
      </c>
      <c r="L400" t="inlineStr">
        <is>
          <t>As a department supervisor, I want reports refused to callers without reporting rights and for other tenants' properties</t>
        </is>
      </c>
      <c r="M400" t="inlineStr">
        <is>
          <t>Reports expose the whole property's money and guests' identity documents.</t>
        </is>
      </c>
      <c r="N400" t="inlineStr">
        <is>
          <t>Roles, permissions and tenant scoping configured.</t>
        </is>
      </c>
      <c r="O400" t="inlineStr">
        <is>
          <t>Given a user lacks reports.view, or names another organisation's property, then the request is refused.</t>
        </is>
      </c>
      <c r="P400" t="inlineStr">
        <is>
          <t>Unbuilt report slugs return 404; Hotel Ledger is not reachable through the generic route.</t>
        </is>
      </c>
      <c r="R400" t="inlineStr">
        <is>
          <t>Finance, Reservations, Housekeeping</t>
        </is>
      </c>
      <c r="S400" t="inlineStr">
        <is>
          <t>require_permission('reports','view') + assert_property_in_org on both endpoints.</t>
        </is>
      </c>
      <c r="T400" t="inlineStr">
        <is>
          <t>Must Have</t>
        </is>
      </c>
      <c r="U400" t="inlineStr">
        <is>
          <t>MVP</t>
        </is>
      </c>
      <c r="V400" t="n">
        <v>3</v>
      </c>
      <c r="W400" t="inlineStr">
        <is>
          <t>S05-S07</t>
        </is>
      </c>
      <c r="X400" t="inlineStr">
        <is>
          <t>QA</t>
        </is>
      </c>
      <c r="Y400">
        <f>IF(X400="Done",1,IF(X400="QA",0.9,IF(X400="Code Review",0.75,IF(X400="In Development",0.5,IF(X400="Ready",0.1,0)))))</f>
        <v/>
      </c>
      <c r="Z400" t="inlineStr">
        <is>
          <t>None</t>
        </is>
      </c>
      <c r="AA400" t="inlineStr">
        <is>
          <t>TC-132-C</t>
        </is>
      </c>
      <c r="AB400" t="inlineStr">
        <is>
          <t>Approved screen design; story reviewed with Finance Manager; dependencies, API contract, role permissions and test data identified.</t>
        </is>
      </c>
      <c r="AD400" t="inlineStr">
        <is>
          <t>QA, not Done: refusal is enforced by the same guards as US-131-03 and every report is run per property in the integration test, but a mixed-tenant window has not been demonstrated.</t>
        </is>
      </c>
    </row>
    <row r="401">
      <c r="A401" t="n">
        <v>1</v>
      </c>
      <c r="B401" t="n">
        <v>397</v>
      </c>
      <c r="C401" t="inlineStr">
        <is>
          <t>US-133-01</t>
        </is>
      </c>
      <c r="D401" t="inlineStr">
        <is>
          <t>View and find information in Work Orders</t>
        </is>
      </c>
      <c r="E401" t="inlineStr">
        <is>
          <t>EPIC-04</t>
        </is>
      </c>
      <c r="F401" t="inlineStr">
        <is>
          <t>Housekeeping</t>
        </is>
      </c>
      <c r="G401" t="inlineStr">
        <is>
          <t>Maintenance</t>
        </is>
      </c>
      <c r="H401" t="inlineStr">
        <is>
          <t>SCR-133</t>
        </is>
      </c>
      <c r="I401" t="inlineStr">
        <is>
          <t>Work Orders</t>
        </is>
      </c>
      <c r="J401" t="inlineStr">
        <is>
          <t>View / Search</t>
        </is>
      </c>
      <c r="K401" t="inlineStr">
        <is>
          <t>Maintenance Supervisor</t>
        </is>
      </c>
      <c r="L401" t="inlineStr">
        <is>
          <t>As a Maintenance Supervisor, I want to see open work by priority and due date, with overdue jobs counted</t>
        </is>
      </c>
      <c r="M401" t="inlineStr">
        <is>
          <t>Faults stop living on paper and in chat, and overdue work is visible every morning.</t>
        </is>
      </c>
      <c r="N401" t="inlineStr">
        <is>
          <t>housekeeping.view permission.</t>
        </is>
      </c>
      <c r="O401" t="inlineStr">
        <is>
          <t>Given I open Work Orders, then open jobs list most urgent first with counts per status and overdue.</t>
        </is>
      </c>
      <c r="P401" t="inlineStr">
        <is>
          <t>Another tenant's property is refused 403.</t>
        </is>
      </c>
      <c r="R401" t="inlineStr">
        <is>
          <t>Rooms, Users</t>
        </is>
      </c>
      <c r="S401" t="inlineStr">
        <is>
          <t>GET /api/booking/work-orders (property_id, status|active, priority, q).</t>
        </is>
      </c>
      <c r="T401" t="inlineStr">
        <is>
          <t>Must Have</t>
        </is>
      </c>
      <c r="U401" t="inlineStr">
        <is>
          <t>MVP</t>
        </is>
      </c>
      <c r="V401" t="n">
        <v>3</v>
      </c>
      <c r="W401" t="inlineStr">
        <is>
          <t>S05-S07</t>
        </is>
      </c>
      <c r="X401" t="inlineStr">
        <is>
          <t>Done</t>
        </is>
      </c>
      <c r="Y401">
        <f>IF(X401="Done",1,IF(X401="QA",0.9,IF(X401="Code Review",0.75,IF(X401="In Development",0.5,IF(X401="Ready",0.1,0)))))</f>
        <v/>
      </c>
      <c r="Z401" t="inlineStr">
        <is>
          <t>None</t>
        </is>
      </c>
      <c r="AA401" t="inlineStr">
        <is>
          <t>TC-133-A</t>
        </is>
      </c>
      <c r="AB401" t="inlineStr">
        <is>
          <t>Approved screen design; story reviewed with Finance Manager; dependencies, API contract, role permissions and test data identified.</t>
        </is>
      </c>
      <c r="AD401" t="inlineStr">
        <is>
          <t>Verified 14 Sep 2026 via API in a rolled-back transaction: ordering, counts, overdue, tenant refusal.</t>
        </is>
      </c>
    </row>
    <row r="402">
      <c r="A402" t="n">
        <v>1</v>
      </c>
      <c r="B402" t="n">
        <v>398</v>
      </c>
      <c r="C402" t="inlineStr">
        <is>
          <t>US-133-02</t>
        </is>
      </c>
      <c r="D402" t="inlineStr">
        <is>
          <t>Complete the primary Work Orders workflow</t>
        </is>
      </c>
      <c r="E402" t="inlineStr">
        <is>
          <t>EPIC-04</t>
        </is>
      </c>
      <c r="F402" t="inlineStr">
        <is>
          <t>Housekeeping</t>
        </is>
      </c>
      <c r="G402" t="inlineStr">
        <is>
          <t>Maintenance</t>
        </is>
      </c>
      <c r="H402" t="inlineStr">
        <is>
          <t>SCR-133</t>
        </is>
      </c>
      <c r="I402" t="inlineStr">
        <is>
          <t>Work Orders</t>
        </is>
      </c>
      <c r="J402" t="inlineStr">
        <is>
          <t>Primary Workflow</t>
        </is>
      </c>
      <c r="K402" t="inlineStr">
        <is>
          <t>Maintenance Supervisor</t>
        </is>
      </c>
      <c r="L402" t="inlineStr">
        <is>
          <t>As a Maintenance Supervisor, I want to raise a job against a room or place, assign it and move it to completion</t>
        </is>
      </c>
      <c r="M402" t="inlineStr">
        <is>
          <t>Days-open on the Work Order List report is measured, not remembered.</t>
        </is>
      </c>
      <c r="N402" t="inlineStr">
        <is>
          <t>housekeeping.create / housekeeping.edit.</t>
        </is>
      </c>
      <c r="O402" t="inlineStr">
        <is>
          <t>Given a job is raised, then it is numbered WO-1001 onwards per property; In progress stamps started_at, Completed stamps completed_at and reopening clears it.</t>
        </is>
      </c>
      <c r="P402" t="inlineStr">
        <is>
          <t>A job with neither room nor location, an unknown category or an assignee outside the organisation is refused.</t>
        </is>
      </c>
      <c r="R402" t="inlineStr">
        <is>
          <t>Rooms, Users</t>
        </is>
      </c>
      <c r="S402" t="inlineStr">
        <is>
          <t>POST /api/booking/work-orders; PATCH /api/booking/work-orders/{id}. Table operations.work_orders (booking-core 0046).</t>
        </is>
      </c>
      <c r="T402" t="inlineStr">
        <is>
          <t>Must Have</t>
        </is>
      </c>
      <c r="U402" t="inlineStr">
        <is>
          <t>MVP</t>
        </is>
      </c>
      <c r="V402" t="n">
        <v>5</v>
      </c>
      <c r="W402" t="inlineStr">
        <is>
          <t>S05-S07</t>
        </is>
      </c>
      <c r="X402" t="inlineStr">
        <is>
          <t>Done</t>
        </is>
      </c>
      <c r="Y402">
        <f>IF(X402="Done",1,IF(X402="QA",0.9,IF(X402="Code Review",0.75,IF(X402="In Development",0.5,IF(X402="Ready",0.1,0)))))</f>
        <v/>
      </c>
      <c r="Z402" t="inlineStr">
        <is>
          <t>None</t>
        </is>
      </c>
      <c r="AA402" t="inlineStr">
        <is>
          <t>TC-133-B</t>
        </is>
      </c>
      <c r="AB402" t="inlineStr">
        <is>
          <t>Approved screen design; story reviewed with Finance Manager; dependencies, API contract, role permissions and test data identified.</t>
        </is>
      </c>
      <c r="AD402" t="inlineStr">
        <is>
          <t>Verified 14 Sep 2026: numbering, stamps, validation. Feeds report 38.</t>
        </is>
      </c>
    </row>
    <row r="403">
      <c r="A403" t="n">
        <v>1</v>
      </c>
      <c r="B403" t="n">
        <v>399</v>
      </c>
      <c r="C403" t="inlineStr">
        <is>
          <t>US-134-01</t>
        </is>
      </c>
      <c r="D403" t="inlineStr">
        <is>
          <t>Complete the primary Expense Vouchers workflow</t>
        </is>
      </c>
      <c r="E403" t="inlineStr">
        <is>
          <t>EPIC-16</t>
        </is>
      </c>
      <c r="F403" t="inlineStr">
        <is>
          <t>Finance</t>
        </is>
      </c>
      <c r="G403" t="inlineStr">
        <is>
          <t>Payables</t>
        </is>
      </c>
      <c r="H403" t="inlineStr">
        <is>
          <t>SCR-134</t>
        </is>
      </c>
      <c r="I403" t="inlineStr">
        <is>
          <t>Expense Vouchers</t>
        </is>
      </c>
      <c r="J403" t="inlineStr">
        <is>
          <t>Primary Workflow</t>
        </is>
      </c>
      <c r="K403" t="inlineStr">
        <is>
          <t>Finance Manager</t>
        </is>
      </c>
      <c r="L403" t="inlineStr">
        <is>
          <t>As a Finance Manager, I want vouchers raised, approved or rejected, then paid, with who decided recorded</t>
        </is>
      </c>
      <c r="M403" t="inlineStr">
        <is>
          <t>Every rupee out that is not a refund has an approver and a record.</t>
        </is>
      </c>
      <c r="N403" t="inlineStr">
        <is>
          <t>payments.create to raise; payments.approve to decide; payments.edit to pay or cancel.</t>
        </is>
      </c>
      <c r="O403" t="inlineStr">
        <is>
          <t>Given a voucher is raised it is pending approval and numbered EV-1001 onwards; only a pending voucher can be edited; approval records the approver; only an approved voucher can be paid.</t>
        </is>
      </c>
      <c r="P403" t="inlineStr">
        <is>
          <t>Rejection without a reason, paying before approval and editing an approved voucher are refused.</t>
        </is>
      </c>
      <c r="R403" t="inlineStr">
        <is>
          <t>Rooms, Approvals</t>
        </is>
      </c>
      <c r="S403" t="inlineStr">
        <is>
          <t>GET/POST /api/finance/expenses; PATCH /api/finance/expenses/{id}; POST /api/finance/expenses/{id}/decision. Table finance.expense_vouchers (finance 0027).</t>
        </is>
      </c>
      <c r="T403" t="inlineStr">
        <is>
          <t>Must Have</t>
        </is>
      </c>
      <c r="U403" t="inlineStr">
        <is>
          <t>MVP</t>
        </is>
      </c>
      <c r="V403" t="n">
        <v>5</v>
      </c>
      <c r="W403" t="inlineStr">
        <is>
          <t>S05-S07</t>
        </is>
      </c>
      <c r="X403" t="inlineStr">
        <is>
          <t>Done</t>
        </is>
      </c>
      <c r="Y403">
        <f>IF(X403="Done",1,IF(X403="QA",0.9,IF(X403="Code Review",0.75,IF(X403="In Development",0.5,IF(X403="Ready",0.1,0)))))</f>
        <v/>
      </c>
      <c r="Z403" t="inlineStr">
        <is>
          <t>None</t>
        </is>
      </c>
      <c r="AA403" t="inlineStr">
        <is>
          <t>TC-134-A</t>
        </is>
      </c>
      <c r="AB403" t="inlineStr">
        <is>
          <t>Approved screen design; story reviewed with Finance Manager; dependencies, API contract, role permissions and test data identified.</t>
        </is>
      </c>
      <c r="AD403" t="inlineStr">
        <is>
          <t>Verified 14 Sep 2026 via API in a rolled-back transaction. A defect found in that run was fixed: the decision UPDATE used one bind as both a varchar column and a text cast, which Postgres refuses. Feeds reports 16 and 27.</t>
        </is>
      </c>
    </row>
    <row r="404">
      <c r="A404" t="n">
        <v>1</v>
      </c>
      <c r="B404" t="n">
        <v>400</v>
      </c>
      <c r="C404" t="inlineStr">
        <is>
          <t>US-135-01</t>
        </is>
      </c>
      <c r="D404" t="inlineStr">
        <is>
          <t>Complete the primary Unit Owners workflow</t>
        </is>
      </c>
      <c r="E404" t="inlineStr">
        <is>
          <t>EPIC-16</t>
        </is>
      </c>
      <c r="F404" t="inlineStr">
        <is>
          <t>Finance</t>
        </is>
      </c>
      <c r="G404" t="inlineStr">
        <is>
          <t>Owner Accounting</t>
        </is>
      </c>
      <c r="H404" t="inlineStr">
        <is>
          <t>SCR-135</t>
        </is>
      </c>
      <c r="I404" t="inlineStr">
        <is>
          <t>Unit Owners</t>
        </is>
      </c>
      <c r="J404" t="inlineStr">
        <is>
          <t>Primary Workflow</t>
        </is>
      </c>
      <c r="K404" t="inlineStr">
        <is>
          <t>Property Owner</t>
        </is>
      </c>
      <c r="L404" t="inlineStr">
        <is>
          <t>As a Resort Manager, I want to record unit owners and which rooms they hold on what management fee</t>
        </is>
      </c>
      <c r="M404" t="inlineStr">
        <is>
          <t>Owner statements can be produced from the ledger instead of a spreadsheet.</t>
        </is>
      </c>
      <c r="N404" t="inlineStr">
        <is>
          <t>payments.view / payments.edit.</t>
        </is>
      </c>
      <c r="O404" t="inlineStr">
        <is>
          <t>Given an owner and a contract are saved, then the room shows its current owner and the Owner Statement settles it.</t>
        </is>
      </c>
      <c r="P404" t="inlineStr">
        <is>
          <t>Overlapping contracts on the same room and contracts ending before they start are refused.</t>
        </is>
      </c>
      <c r="R404" t="inlineStr">
        <is>
          <t>Rooms, Expense Vouchers</t>
        </is>
      </c>
      <c r="S404" t="inlineStr">
        <is>
          <t>GET/POST /api/finance/unit-owners; PATCH /api/finance/unit-owners/{id}; POST /api/finance/unit-owners/{id}/contracts; PATCH /api/finance/unit-owner-contracts/{id}. Tables finance.unit_owners, finance.unit_owner_contracts (finance 0027).</t>
        </is>
      </c>
      <c r="T404" t="inlineStr">
        <is>
          <t>Must Have</t>
        </is>
      </c>
      <c r="U404" t="inlineStr">
        <is>
          <t>MVP</t>
        </is>
      </c>
      <c r="V404" t="n">
        <v>5</v>
      </c>
      <c r="W404" t="inlineStr">
        <is>
          <t>S05-S07</t>
        </is>
      </c>
      <c r="X404" t="inlineStr">
        <is>
          <t>Done</t>
        </is>
      </c>
      <c r="Y404">
        <f>IF(X404="Done",1,IF(X404="QA",0.9,IF(X404="Code Review",0.75,IF(X404="In Development",0.5,IF(X404="Ready",0.1,0)))))</f>
        <v/>
      </c>
      <c r="Z404" t="inlineStr">
        <is>
          <t>None</t>
        </is>
      </c>
      <c r="AA404" t="inlineStr">
        <is>
          <t>TC-135-A</t>
        </is>
      </c>
      <c r="AB404" t="inlineStr">
        <is>
          <t>Approved screen design; story reviewed with Finance Manager; dependencies, API contract, role permissions and test data identified.</t>
        </is>
      </c>
      <c r="AD404" t="inlineStr">
        <is>
          <t>Verified 14 Sep 2026: overlap refusal, date validation, current owner, and the statement (16,000 revenue, 20% fee 3,200, 2,860 charges, 9,940 net). Payouts to owners are not recorded yet.</t>
        </is>
      </c>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2026-09-14T07:30:33Z</dcterms:modified>
  <cp:lastModifiedBy>user</cp:lastModifiedBy>
</cp:coreProperties>
</file>