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6.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7190" tabRatio="600" firstSheet="5" activeTab="8" autoFilterDateGrouping="1"/>
  </bookViews>
  <sheets>
    <sheet xmlns:r="http://schemas.openxmlformats.org/officeDocument/2006/relationships" name="Dashboard" sheetId="1" state="visible" r:id="rId1"/>
    <sheet xmlns:r="http://schemas.openxmlformats.org/officeDocument/2006/relationships" name="Module Master" sheetId="2" state="visible" r:id="rId2"/>
    <sheet xmlns:r="http://schemas.openxmlformats.org/officeDocument/2006/relationships" name="Screen Requirements" sheetId="3" state="visible" r:id="rId3"/>
    <sheet xmlns:r="http://schemas.openxmlformats.org/officeDocument/2006/relationships" name="Development Plan" sheetId="4" state="visible" r:id="rId4"/>
    <sheet xmlns:r="http://schemas.openxmlformats.org/officeDocument/2006/relationships" name="Role Access Matrix" sheetId="5" state="visible" r:id="rId5"/>
    <sheet xmlns:r="http://schemas.openxmlformats.org/officeDocument/2006/relationships" name="API &amp; Data Mapping" sheetId="6" state="visible" r:id="rId6"/>
    <sheet xmlns:r="http://schemas.openxmlformats.org/officeDocument/2006/relationships" name="Test &amp; Acceptance" sheetId="7" state="visible" r:id="rId7"/>
    <sheet xmlns:r="http://schemas.openxmlformats.org/officeDocument/2006/relationships" name="Lists &amp; Legend" sheetId="8" state="visible" r:id="rId8"/>
    <sheet xmlns:r="http://schemas.openxmlformats.org/officeDocument/2006/relationships" name="User Stories &amp; Acceptance" sheetId="9" state="visible" r:id="rId9"/>
  </sheets>
  <definedNames/>
  <calcPr calcId="152511" fullCalcOnLoad="1"/>
</workbook>
</file>

<file path=xl/styles.xml><?xml version="1.0" encoding="utf-8"?>
<styleSheet xmlns="http://schemas.openxmlformats.org/spreadsheetml/2006/main">
  <numFmts count="1">
    <numFmt numFmtId="164" formatCode="yyyy\-mm\-dd"/>
  </numFmts>
  <fonts count="4">
    <font>
      <name val="Carlito"/>
      <sz val="11"/>
    </font>
    <font>
      <name val="Carlito"/>
      <b val="1"/>
      <color rgb="FFFFFFFF"/>
      <sz val="11"/>
    </font>
    <font>
      <name val="Carlito"/>
      <b val="1"/>
      <color rgb="FF123047"/>
      <sz val="11"/>
    </font>
    <font>
      <name val="Carlito"/>
      <color rgb="FF123047"/>
      <sz val="11"/>
    </font>
  </fonts>
  <fills count="13">
    <fill>
      <patternFill/>
    </fill>
    <fill>
      <patternFill patternType="gray125"/>
    </fill>
    <fill>
      <patternFill patternType="solid">
        <fgColor rgb="FF123047"/>
      </patternFill>
    </fill>
    <fill>
      <patternFill patternType="solid">
        <fgColor rgb="FFDCE8EE"/>
      </patternFill>
    </fill>
    <fill>
      <patternFill patternType="solid">
        <fgColor rgb="FFF7F2E8"/>
      </patternFill>
    </fill>
    <fill>
      <patternFill patternType="solid">
        <fgColor rgb="FFD9F3EF"/>
      </patternFill>
    </fill>
    <fill>
      <patternFill patternType="solid">
        <fgColor rgb="FF009688"/>
      </patternFill>
    </fill>
    <fill>
      <patternFill patternType="solid">
        <fgColor rgb="FFF5F7FA"/>
      </patternFill>
    </fill>
    <fill>
      <patternFill patternType="solid">
        <fgColor rgb="FF123047"/>
      </patternFill>
    </fill>
    <fill>
      <patternFill patternType="solid">
        <fgColor rgb="FFD9F3EF"/>
      </patternFill>
    </fill>
    <fill>
      <patternFill patternType="solid">
        <fgColor rgb="FFDCE8EE"/>
      </patternFill>
    </fill>
    <fill>
      <patternFill patternType="solid">
        <fgColor rgb="FF009688"/>
      </patternFill>
    </fill>
    <fill>
      <patternFill patternType="solid">
        <fgColor rgb="FFF7F2E8"/>
      </patternFill>
    </fill>
  </fills>
  <borders count="20">
    <border>
      <left/>
      <right/>
      <top/>
      <bottom/>
      <diagonal/>
    </border>
    <border>
      <left style="thin">
        <color rgb="FFD8E1E8"/>
      </left>
      <right/>
      <top style="thin">
        <color rgb="FFD8E1E8"/>
      </top>
      <bottom style="thin">
        <color rgb="FFD8E1E8"/>
      </bottom>
      <diagonal/>
    </border>
    <border>
      <left/>
      <right/>
      <top style="thin">
        <color rgb="FFD8E1E8"/>
      </top>
      <bottom style="thin">
        <color rgb="FFD8E1E8"/>
      </bottom>
      <diagonal/>
    </border>
    <border>
      <left/>
      <right style="thin">
        <color rgb="FFD8E1E8"/>
      </right>
      <top style="thin">
        <color rgb="FFD8E1E8"/>
      </top>
      <bottom style="thin">
        <color rgb="FFD8E1E8"/>
      </bottom>
      <diagonal/>
    </border>
    <border>
      <left style="thin">
        <color rgb="FFD8E1E8"/>
      </left>
      <right/>
      <top style="thin">
        <color rgb="FFD8E1E8"/>
      </top>
      <bottom style="thin">
        <color rgb="FFE7EDF1"/>
      </bottom>
      <diagonal/>
    </border>
    <border>
      <left/>
      <right/>
      <top style="thin">
        <color rgb="FFD8E1E8"/>
      </top>
      <bottom style="thin">
        <color rgb="FFE7EDF1"/>
      </bottom>
      <diagonal/>
    </border>
    <border>
      <left style="thin">
        <color rgb="FFD8E1E8"/>
      </left>
      <right/>
      <top style="thin">
        <color rgb="FFE7EDF1"/>
      </top>
      <bottom style="thin">
        <color rgb="FFE7EDF1"/>
      </bottom>
      <diagonal/>
    </border>
    <border>
      <left/>
      <right/>
      <top style="thin">
        <color rgb="FFE7EDF1"/>
      </top>
      <bottom style="thin">
        <color rgb="FFE7EDF1"/>
      </bottom>
      <diagonal/>
    </border>
    <border>
      <left style="thin">
        <color rgb="FFD8E1E8"/>
      </left>
      <right/>
      <top style="thin">
        <color rgb="FFE7EDF1"/>
      </top>
      <bottom style="thin">
        <color rgb="FFD8E1E8"/>
      </bottom>
      <diagonal/>
    </border>
    <border>
      <left/>
      <right/>
      <top style="thin">
        <color rgb="FFE7EDF1"/>
      </top>
      <bottom style="thin">
        <color rgb="FFD8E1E8"/>
      </bottom>
      <diagonal/>
    </border>
    <border>
      <left/>
      <right/>
      <top style="thin">
        <color rgb="FFD8E1E8"/>
      </top>
      <bottom/>
      <diagonal/>
    </border>
    <border>
      <left/>
      <right style="thin">
        <color rgb="FFD8E1E8"/>
      </right>
      <top style="thin">
        <color rgb="FFD8E1E8"/>
      </top>
      <bottom/>
      <diagonal/>
    </border>
    <border>
      <left style="thin">
        <color rgb="FFD8E1E8"/>
      </left>
      <right/>
      <top/>
      <bottom style="thin">
        <color rgb="FFD8E1E8"/>
      </bottom>
      <diagonal/>
    </border>
    <border>
      <left/>
      <right/>
      <top/>
      <bottom style="thin">
        <color rgb="FFD8E1E8"/>
      </bottom>
      <diagonal/>
    </border>
    <border>
      <left/>
      <right style="thin">
        <color rgb="FFD8E1E8"/>
      </right>
      <top/>
      <bottom style="thin">
        <color rgb="FFD8E1E8"/>
      </bottom>
      <diagonal/>
    </border>
    <border>
      <left/>
      <right/>
      <top/>
      <bottom style="thin">
        <color rgb="FFE7EDF1"/>
      </bottom>
      <diagonal/>
    </border>
    <border>
      <left/>
      <right/>
      <top style="thin">
        <color rgb="FFE7EDF1"/>
      </top>
      <bottom/>
      <diagonal/>
    </border>
    <border>
      <left style="thin">
        <color rgb="FFD8E1E8"/>
      </left>
      <right style="thin">
        <color rgb="FFD8E1E8"/>
      </right>
      <top style="thin">
        <color rgb="FFD8E1E8"/>
      </top>
      <bottom style="thin">
        <color rgb="FFD8E1E8"/>
      </bottom>
      <diagonal/>
    </border>
    <border>
      <left style="thin">
        <color rgb="FFD8E1E8"/>
      </left>
      <right/>
      <top/>
      <bottom/>
      <diagonal/>
    </border>
    <border>
      <left/>
      <right style="thin">
        <color rgb="FFD8E1E8"/>
      </right>
      <top/>
      <bottom/>
      <diagonal/>
    </border>
  </borders>
  <cellStyleXfs count="1">
    <xf numFmtId="0" fontId="0" fillId="0" borderId="0"/>
  </cellStyleXfs>
  <cellXfs count="55">
    <xf numFmtId="0" fontId="0" fillId="0" borderId="0" pivotButton="0" quotePrefix="0" xfId="0"/>
    <xf numFmtId="0" fontId="2" fillId="3" borderId="1" applyAlignment="1" pivotButton="0" quotePrefix="0" xfId="0">
      <alignment vertical="center" wrapText="1"/>
    </xf>
    <xf numFmtId="0" fontId="2" fillId="3" borderId="2" applyAlignment="1" pivotButton="0" quotePrefix="0" xfId="0">
      <alignment vertical="center" wrapText="1"/>
    </xf>
    <xf numFmtId="0" fontId="2" fillId="3" borderId="3" applyAlignment="1" pivotButton="0" quotePrefix="0" xfId="0">
      <alignment vertical="center" wrapText="1"/>
    </xf>
    <xf numFmtId="0" fontId="0" fillId="0" borderId="0" applyAlignment="1" pivotButton="0" quotePrefix="0" xfId="0">
      <alignment vertical="top" wrapText="1"/>
    </xf>
    <xf numFmtId="9" fontId="0" fillId="0" borderId="0" applyAlignment="1" pivotButton="0" quotePrefix="0" xfId="0">
      <alignment vertical="top" wrapText="1"/>
    </xf>
    <xf numFmtId="0" fontId="2" fillId="4" borderId="0" applyAlignment="1" pivotButton="0" quotePrefix="0" xfId="0">
      <alignment wrapText="1"/>
    </xf>
    <xf numFmtId="164" fontId="0" fillId="0" borderId="0" applyAlignment="1" pivotButton="0" quotePrefix="0" xfId="0">
      <alignment vertical="top" wrapText="1"/>
    </xf>
    <xf numFmtId="0" fontId="2" fillId="3" borderId="4" applyAlignment="1" pivotButton="0" quotePrefix="0" xfId="0">
      <alignment vertical="center" wrapText="1"/>
    </xf>
    <xf numFmtId="0" fontId="2" fillId="3" borderId="5" applyAlignment="1" pivotButton="0" quotePrefix="0" xfId="0">
      <alignment vertical="center" wrapText="1"/>
    </xf>
    <xf numFmtId="0" fontId="0" fillId="0" borderId="6" applyAlignment="1" pivotButton="0" quotePrefix="0" xfId="0">
      <alignment horizontal="center" vertical="top" wrapText="1"/>
    </xf>
    <xf numFmtId="0" fontId="0" fillId="0" borderId="7" applyAlignment="1" pivotButton="0" quotePrefix="0" xfId="0">
      <alignment horizontal="center" vertical="top" wrapText="1"/>
    </xf>
    <xf numFmtId="0" fontId="0" fillId="0" borderId="7" applyAlignment="1" pivotButton="0" quotePrefix="0" xfId="0">
      <alignment vertical="top" wrapText="1"/>
    </xf>
    <xf numFmtId="9" fontId="0" fillId="0" borderId="7" applyAlignment="1" pivotButton="0" quotePrefix="0" xfId="0">
      <alignment vertical="top" wrapText="1"/>
    </xf>
    <xf numFmtId="164" fontId="0" fillId="0" borderId="7" applyAlignment="1" pivotButton="0" quotePrefix="0" xfId="0">
      <alignment vertical="top" wrapText="1"/>
    </xf>
    <xf numFmtId="0" fontId="0" fillId="0" borderId="8" applyAlignment="1" pivotButton="0" quotePrefix="0" xfId="0">
      <alignment horizontal="center" vertical="top" wrapText="1"/>
    </xf>
    <xf numFmtId="0" fontId="0" fillId="0" borderId="9" applyAlignment="1" pivotButton="0" quotePrefix="0" xfId="0">
      <alignment horizontal="center" vertical="top" wrapText="1"/>
    </xf>
    <xf numFmtId="0" fontId="0" fillId="0" borderId="9" applyAlignment="1" pivotButton="0" quotePrefix="0" xfId="0">
      <alignment vertical="top" wrapText="1"/>
    </xf>
    <xf numFmtId="9" fontId="0" fillId="0" borderId="9" applyAlignment="1" pivotButton="0" quotePrefix="0" xfId="0">
      <alignment vertical="top" wrapText="1"/>
    </xf>
    <xf numFmtId="164" fontId="0" fillId="0" borderId="9" applyAlignment="1" pivotButton="0" quotePrefix="0" xfId="0">
      <alignment vertical="top" wrapText="1"/>
    </xf>
    <xf numFmtId="1" fontId="0" fillId="0" borderId="0" applyAlignment="1" pivotButton="0" quotePrefix="0" xfId="0">
      <alignment vertical="top" wrapText="1"/>
    </xf>
    <xf numFmtId="9" fontId="0" fillId="0" borderId="0" pivotButton="0" quotePrefix="0" xfId="0"/>
    <xf numFmtId="0" fontId="0" fillId="0"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8" borderId="0" applyAlignment="1" pivotButton="0" quotePrefix="0" xfId="0">
      <alignment vertical="center"/>
    </xf>
    <xf numFmtId="0" fontId="3" fillId="9" borderId="0" applyAlignment="1" pivotButton="0" quotePrefix="0" xfId="0">
      <alignment wrapText="1"/>
    </xf>
    <xf numFmtId="0" fontId="2" fillId="10" borderId="1" applyAlignment="1" pivotButton="0" quotePrefix="0" xfId="0">
      <alignment vertical="center" wrapText="1"/>
    </xf>
    <xf numFmtId="0" fontId="2" fillId="10" borderId="2" applyAlignment="1" pivotButton="0" quotePrefix="0" xfId="0">
      <alignment vertical="center" wrapText="1"/>
    </xf>
    <xf numFmtId="0" fontId="2" fillId="10" borderId="3" applyAlignment="1" pivotButton="0" quotePrefix="0" xfId="0">
      <alignment vertical="center" wrapText="1"/>
    </xf>
    <xf numFmtId="0" fontId="0" fillId="0" borderId="15" applyAlignment="1" pivotButton="0" quotePrefix="0" xfId="0">
      <alignment vertical="top" wrapText="1"/>
    </xf>
    <xf numFmtId="0" fontId="0" fillId="0" borderId="16" applyAlignment="1" pivotButton="0" quotePrefix="0" xfId="0">
      <alignment vertical="top" wrapText="1"/>
    </xf>
    <xf numFmtId="0" fontId="0" fillId="0" borderId="15" applyAlignment="1" pivotButton="0" quotePrefix="0" xfId="0">
      <alignment horizontal="center" vertical="top" wrapText="1"/>
    </xf>
    <xf numFmtId="0" fontId="0" fillId="0" borderId="16" applyAlignment="1" pivotButton="0" quotePrefix="0" xfId="0">
      <alignment horizontal="center" vertical="top" wrapText="1"/>
    </xf>
    <xf numFmtId="1" fontId="0" fillId="0" borderId="15" applyAlignment="1" pivotButton="0" quotePrefix="0" xfId="0">
      <alignment vertical="top" wrapText="1"/>
    </xf>
    <xf numFmtId="1" fontId="0" fillId="0" borderId="7" applyAlignment="1" pivotButton="0" quotePrefix="0" xfId="0">
      <alignment vertical="top" wrapText="1"/>
    </xf>
    <xf numFmtId="1" fontId="0" fillId="0" borderId="16" applyAlignment="1" pivotButton="0" quotePrefix="0" xfId="0">
      <alignment vertical="top" wrapText="1"/>
    </xf>
    <xf numFmtId="9" fontId="0" fillId="0" borderId="15" applyAlignment="1" pivotButton="0" quotePrefix="0" xfId="0">
      <alignment vertical="top" wrapText="1"/>
    </xf>
    <xf numFmtId="9" fontId="0" fillId="0" borderId="16" applyAlignment="1" pivotButton="0" quotePrefix="0" xfId="0">
      <alignment vertical="top" wrapText="1"/>
    </xf>
    <xf numFmtId="0" fontId="1" fillId="11" borderId="0" pivotButton="0" quotePrefix="0" xfId="0"/>
    <xf numFmtId="0" fontId="2" fillId="12" borderId="0" pivotButton="0" quotePrefix="0" xfId="0"/>
    <xf numFmtId="0" fontId="0" fillId="0" borderId="0" pivotButton="0" quotePrefix="0" xfId="0"/>
    <xf numFmtId="0" fontId="1" fillId="6" borderId="0" applyAlignment="1" pivotButton="0" quotePrefix="0" xfId="0">
      <alignment vertical="center"/>
    </xf>
    <xf numFmtId="0" fontId="3" fillId="5" borderId="0" applyAlignment="1" pivotButton="0" quotePrefix="0" xfId="0">
      <alignment wrapText="1"/>
    </xf>
    <xf numFmtId="0" fontId="0" fillId="0" borderId="0" pivotButton="0" quotePrefix="0" xfId="0"/>
    <xf numFmtId="0" fontId="2" fillId="7" borderId="17" applyAlignment="1" pivotButton="0" quotePrefix="0" xfId="0">
      <alignment horizontal="center" vertical="center"/>
    </xf>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0" fontId="1" fillId="2" borderId="0" applyAlignment="1" pivotButton="0" quotePrefix="0" xfId="0">
      <alignment vertical="center"/>
    </xf>
    <xf numFmtId="0" fontId="1" fillId="6" borderId="0" applyAlignment="1" pivotButton="0" quotePrefix="0" xfId="0">
      <alignment horizontal="center"/>
    </xf>
    <xf numFmtId="0" fontId="1" fillId="6" borderId="0" applyAlignment="1" pivotButton="0" quotePrefix="0" xfId="0">
      <alignment vertical="center"/>
    </xf>
    <xf numFmtId="9" fontId="2" fillId="7" borderId="17" applyAlignment="1" pivotButton="0" quotePrefix="0" xfId="0">
      <alignment horizontal="center" vertical="center"/>
    </xf>
    <xf numFmtId="0" fontId="0" fillId="0" borderId="0" applyAlignment="1" pivotButton="0" quotePrefix="0" xfId="0">
      <alignment wrapText="1"/>
    </xf>
  </cellXfs>
  <cellStyles count="1">
    <cellStyle name="Normal" xfId="0" builtinId="0"/>
  </cellStyles>
  <dxfs count="15">
    <dxf>
      <font>
        <color rgb="FF92400E"/>
      </font>
      <fill>
        <patternFill patternType="solid">
          <bgColor rgb="FFFEF3C7"/>
        </patternFill>
      </fill>
    </dxf>
    <dxf>
      <font>
        <b val="1"/>
        <color rgb="FFD9534F"/>
      </font>
      <fill>
        <patternFill patternType="solid">
          <bgColor rgb="FFFEE2E2"/>
        </patternFill>
      </fill>
    </dxf>
    <dxf>
      <font>
        <b val="1"/>
        <color rgb="FF2E7D32"/>
      </font>
      <fill>
        <patternFill patternType="solid">
          <bgColor rgb="FFDCFCE7"/>
        </patternFill>
      </fill>
    </dxf>
    <dxf>
      <font>
        <color rgb="FF92400E"/>
      </font>
      <fill>
        <patternFill>
          <bgColor rgb="FFFEF3C7"/>
        </patternFill>
      </fill>
    </dxf>
    <dxf>
      <font>
        <b val="1"/>
        <color rgb="FFD9534F"/>
      </font>
      <fill>
        <patternFill>
          <bgColor rgb="FFFEE2E2"/>
        </patternFill>
      </fill>
    </dxf>
    <dxf>
      <font>
        <b val="1"/>
        <color rgb="FF2E7D32"/>
      </font>
      <fill>
        <patternFill>
          <bgColor rgb="FFDCFCE7"/>
        </patternFill>
      </fill>
    </dxf>
    <dxf>
      <font>
        <color rgb="FF92400E"/>
      </font>
      <fill>
        <patternFill>
          <bgColor rgb="FFFEF3C7"/>
        </patternFill>
      </fill>
    </dxf>
    <dxf>
      <font>
        <b val="1"/>
        <color rgb="FFD9534F"/>
      </font>
      <fill>
        <patternFill>
          <bgColor rgb="FFFEE2E2"/>
        </patternFill>
      </fill>
    </dxf>
    <dxf>
      <font>
        <b val="1"/>
        <color rgb="FF2E7D32"/>
      </font>
      <fill>
        <patternFill>
          <bgColor rgb="FFDCFCE7"/>
        </patternFill>
      </fill>
    </dxf>
    <dxf>
      <font>
        <b val="1"/>
        <color rgb="FF2E7D32"/>
      </font>
      <fill>
        <patternFill>
          <bgColor rgb="FFDCFCE7"/>
        </patternFill>
      </fill>
    </dxf>
    <dxf>
      <font>
        <color rgb="FF64748B"/>
      </font>
      <fill>
        <patternFill>
          <bgColor rgb="FFF1F5F9"/>
        </patternFill>
      </fill>
    </dxf>
    <dxf>
      <font>
        <b val="1"/>
        <color rgb="FF92400E"/>
      </font>
      <fill>
        <patternFill>
          <bgColor rgb="FFFEF3C7"/>
        </patternFill>
      </fill>
    </dxf>
    <dxf>
      <font>
        <color rgb="FF92400E"/>
      </font>
      <fill>
        <patternFill>
          <bgColor rgb="FFFEF3C7"/>
        </patternFill>
      </fill>
    </dxf>
    <dxf>
      <font>
        <b val="1"/>
        <color rgb="FFD9534F"/>
      </font>
      <fill>
        <patternFill>
          <bgColor rgb="FFFEE2E2"/>
        </patternFill>
      </fill>
    </dxf>
    <dxf>
      <font>
        <b val="1"/>
        <color rgb="FF2E7D32"/>
      </font>
      <fill>
        <patternFill>
          <bgColor rgb="FFDCFCE7"/>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t>Planned Screens by Module</a:t>
            </a:r>
          </a:p>
        </rich>
      </tx>
      <overlay val="0"/>
    </title>
    <plotArea>
      <layout/>
      <barChart>
        <barDir val="col"/>
        <grouping val="clustered"/>
        <varyColors val="0"/>
        <ser>
          <idx val="0"/>
          <order val="0"/>
          <tx>
            <v>Screens</v>
          </tx>
          <spPr>
            <a:ln xmlns:a="http://schemas.openxmlformats.org/drawingml/2006/main">
              <a:prstDash val="solid"/>
            </a:ln>
          </spPr>
          <invertIfNegative val="1"/>
          <cat>
            <strRef>
              <f>Dashboard!$A$10:$A$37</f>
              <strCache>
                <ptCount val="28"/>
                <pt idx="0">
                  <v>Overview</v>
                </pt>
                <pt idx="1">
                  <v>Front Desk</v>
                </pt>
                <pt idx="2">
                  <v>Reservations</v>
                </pt>
                <pt idx="3">
                  <v>Housekeeping</v>
                </pt>
                <pt idx="4">
                  <v>Property &amp; Rooms</v>
                </pt>
                <pt idx="5">
                  <v>Guest CRM</v>
                </pt>
                <pt idx="6">
                  <v>Food &amp; Beverage</v>
                </pt>
                <pt idx="7">
                  <v>Guest Services</v>
                </pt>
                <pt idx="8">
                  <v>Activities</v>
                </pt>
                <pt idx="9">
                  <v>Spa</v>
                </pt>
                <pt idx="10">
                  <v>Events &amp; Banquets</v>
                </pt>
                <pt idx="11">
                  <v>Transport</v>
                </pt>
                <pt idx="12">
                  <v>Maintenance</v>
                </pt>
                <pt idx="13">
                  <v>Inventory</v>
                </pt>
                <pt idx="14">
                  <v>Workforce</v>
                </pt>
                <pt idx="15">
                  <v>Finance</v>
                </pt>
                <pt idx="16">
                  <v>Purchasing</v>
                </pt>
                <pt idx="17">
                  <v>Distribution</v>
                </pt>
                <pt idx="18">
                  <v>Administration</v>
                </pt>
                <pt idx="19">
                  <v>Analytics</v>
                </pt>
                <pt idx="20">
                  <v>Groups</v>
                </pt>
                <pt idx="21">
                  <v>Revenue Management</v>
                </pt>
                <pt idx="22">
                  <v>AI &amp; Automation</v>
                </pt>
                <pt idx="23">
                  <v>Communications</v>
                </pt>
                <pt idx="24">
                  <v>Guest Portal</v>
                </pt>
                <pt idx="25">
                  <v>Partner Portal</v>
                </pt>
                <pt idx="26">
                  <v>Sales &amp; Marketing</v>
                </pt>
                <pt idx="27">
                  <v>Integrations</v>
                </pt>
              </strCache>
            </strRef>
          </cat>
          <val>
            <numRef>
              <f>Dashboard!$B$10:$B$37</f>
              <numCache>
                <formatCode>General</formatCode>
                <ptCount val="28"/>
                <pt idx="0">
                  <v>1</v>
                </pt>
                <pt idx="1">
                  <v>4</v>
                </pt>
                <pt idx="2">
                  <v>11</v>
                </pt>
                <pt idx="3">
                  <v>7</v>
                </pt>
                <pt idx="4">
                  <v>8</v>
                </pt>
                <pt idx="5">
                  <v>9</v>
                </pt>
                <pt idx="6">
                  <v>9</v>
                </pt>
                <pt idx="7">
                  <v>1</v>
                </pt>
                <pt idx="8">
                  <v>3</v>
                </pt>
                <pt idx="9">
                  <v>4</v>
                </pt>
                <pt idx="10">
                  <v>5</v>
                </pt>
                <pt idx="11">
                  <v>5</v>
                </pt>
                <pt idx="12">
                  <v>6</v>
                </pt>
                <pt idx="13">
                  <v>4</v>
                </pt>
                <pt idx="14">
                  <v>5</v>
                </pt>
                <pt idx="15">
                  <v>10</v>
                </pt>
                <pt idx="16">
                  <v>6</v>
                </pt>
                <pt idx="17">
                  <v>2</v>
                </pt>
                <pt idx="18">
                  <v>9</v>
                </pt>
                <pt idx="19">
                  <v>1</v>
                </pt>
                <pt idx="20">
                  <v>2</v>
                </pt>
                <pt idx="21">
                  <v>5</v>
                </pt>
                <pt idx="22">
                  <v>6</v>
                </pt>
                <pt idx="23">
                  <v>1</v>
                </pt>
                <pt idx="24">
                  <v>2</v>
                </pt>
                <pt idx="25">
                  <v>2</v>
                </pt>
                <pt idx="26">
                  <v>1</v>
                </pt>
                <pt idx="27">
                  <v>1</v>
                </pt>
              </numCache>
            </numRef>
          </val>
        </ser>
        <dLbls>
          <showLegendKey val="0"/>
          <showVal val="0"/>
          <showCatName val="0"/>
          <showSerName val="0"/>
          <showPercent val="0"/>
          <showBubbleSize val="0"/>
        </dLbls>
        <gapWidth val="150"/>
        <axId val="800530176"/>
        <axId val="800530720"/>
      </barChart>
      <catAx>
        <axId val="800530176"/>
        <scaling>
          <orientation val="minMax"/>
        </scaling>
        <delete val="0"/>
        <axPos val="b"/>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800530720"/>
        <crosses val="autoZero"/>
        <auto val="1"/>
        <lblAlgn val="ctr"/>
        <lblOffset val="100"/>
        <noMultiLvlLbl val="1"/>
      </catAx>
      <valAx>
        <axId val="800530720"/>
        <scaling>
          <orientation val="minMax"/>
        </scaling>
        <delete val="0"/>
        <axPos val="l"/>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800530176"/>
        <crosses val="autoZero"/>
        <crossBetween val="between"/>
      </valAx>
    </plotArea>
    <plotVisOnly val="1"/>
    <dispBlanksAs val="zero"/>
  </chart>
  <spPr>
    <a:ln xmlns:a="http://schemas.openxmlformats.org/drawingml/2006/mai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from>
      <col>5</col>
      <colOff>0</colOff>
      <row>23</row>
      <rowOff>0</rowOff>
    </from>
    <to>
      <col>12</col>
      <colOff>0</colOff>
      <row>43</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ModuleMasterTable" displayName="ModuleMasterTable" ref="A3:I31" headerRowCount="1" totalsRowShown="0">
  <tableColumns count="9">
    <tableColumn id="1" name="Module ID"/>
    <tableColumn id="2" name="Module"/>
    <tableColumn id="3" name="Business Objective"/>
    <tableColumn id="4" name="Submodules"/>
    <tableColumn id="5" name="Primary Roles"/>
    <tableColumn id="6" name="Core Data Entities"/>
    <tableColumn id="7" name="Key Dependencies"/>
    <tableColumn id="8" name="Screen Count"/>
    <tableColumn id="9" name="Phase(s)"/>
  </tableColumns>
  <tableStyleInfo name="TableStyleMedium2" showFirstColumn="0" showLastColumn="0" showRowStripes="1" showColumnStripes="0"/>
</table>
</file>

<file path=xl/tables/table2.xml><?xml version="1.0" encoding="utf-8"?>
<table xmlns="http://schemas.openxmlformats.org/spreadsheetml/2006/main" id="2" name="ScreenRequirementsTable" displayName="ScreenRequirementsTable" ref="A4:Z134" headerRowCount="1" totalsRowShown="0">
  <tableColumns count="26">
    <tableColumn id="1" name="Build Order"/>
    <tableColumn id="2" name="Screen ID"/>
    <tableColumn id="3" name="Design Status"/>
    <tableColumn id="4" name="Module"/>
    <tableColumn id="5" name="Submodule"/>
    <tableColumn id="6" name="Screen Name"/>
    <tableColumn id="7" name="Business Purpose"/>
    <tableColumn id="8" name="Functional Requirements"/>
    <tableColumn id="9" name="Operations / Actions"/>
    <tableColumn id="10" name="Primary Roles"/>
    <tableColumn id="11" name="Priority"/>
    <tableColumn id="12" name="Development Phase"/>
    <tableColumn id="13" name="Sprint"/>
    <tableColumn id="14" name="Development Status"/>
    <tableColumn id="15" name="Progress %"/>
    <tableColumn id="16" name="Dependencies"/>
    <tableColumn id="17" name="Frontend Deliverables"/>
    <tableColumn id="18" name="Backend / API"/>
    <tableColumn id="19" name="Data Entities"/>
    <tableColumn id="20" name="Validation &amp; Business Rules"/>
    <tableColumn id="21" name="Acceptance Criteria"/>
    <tableColumn id="22" name="Security &amp; Audit"/>
    <tableColumn id="23" name="Owner"/>
    <tableColumn id="24" name="Planned Start"/>
    <tableColumn id="25" name="Planned End"/>
    <tableColumn id="26" name="Remarks"/>
  </tableColumns>
  <tableStyleInfo name="TableStyleMedium2" showFirstColumn="0" showLastColumn="0" showRowStripes="1" showColumnStripes="0"/>
</table>
</file>

<file path=xl/tables/table3.xml><?xml version="1.0" encoding="utf-8"?>
<table xmlns="http://schemas.openxmlformats.org/spreadsheetml/2006/main" id="3" name="DevelopmentPlanTable" displayName="DevelopmentPlanTable" ref="A4:M16" headerRowCount="1" totalsRowShown="0">
  <tableColumns count="13">
    <tableColumn id="1" name="Phase"/>
    <tableColumn id="2" name="Phase Name"/>
    <tableColumn id="3" name="Sprint(s)"/>
    <tableColumn id="4" name="Planned Start"/>
    <tableColumn id="5" name="Planned End"/>
    <tableColumn id="6" name="Duration (Weeks)"/>
    <tableColumn id="7" name="Screen Count"/>
    <tableColumn id="8" name="Screen IDs"/>
    <tableColumn id="9" name="Prerequisite"/>
    <tableColumn id="10" name="Main Deliverables"/>
    <tableColumn id="11" name="Exit Criteria"/>
    <tableColumn id="12" name="Phase Status"/>
    <tableColumn id="13" name="Progress %"/>
  </tableColumns>
  <tableStyleInfo name="TableStyleMedium2" showFirstColumn="0" showLastColumn="0" showRowStripes="1" showColumnStripes="0"/>
</table>
</file>

<file path=xl/tables/table4.xml><?xml version="1.0" encoding="utf-8"?>
<table xmlns="http://schemas.openxmlformats.org/spreadsheetml/2006/main" id="4" name="ApiDataTable" displayName="ApiDataTable" ref="A3:H31" headerRowCount="1" totalsRowShown="0">
  <tableColumns count="8">
    <tableColumn id="1" name="Module"/>
    <tableColumn id="2" name="Service / Bounded Context"/>
    <tableColumn id="3" name="Core API Pattern"/>
    <tableColumn id="4" name="Core Data Entities"/>
    <tableColumn id="5" name="Domain Events"/>
    <tableColumn id="6" name="External Integrations"/>
    <tableColumn id="7" name="Security &amp; Audit"/>
    <tableColumn id="8" name="Implementation Status"/>
  </tableColumns>
  <tableStyleInfo name="TableStyleMedium2" showFirstColumn="0" showLastColumn="0" showRowStripes="1" showColumnStripes="0"/>
</table>
</file>

<file path=xl/tables/table5.xml><?xml version="1.0" encoding="utf-8"?>
<table xmlns="http://schemas.openxmlformats.org/spreadsheetml/2006/main" id="5" name="TestAcceptanceTable" displayName="TestAcceptanceTable" ref="A3:M133" headerRowCount="1" totalsRowShown="0">
  <tableColumns count="13">
    <tableColumn id="1" name="Test ID"/>
    <tableColumn id="2" name="Screen ID"/>
    <tableColumn id="3" name="Module"/>
    <tableColumn id="4" name="Screen Name"/>
    <tableColumn id="5" name="Test Scenario"/>
    <tableColumn id="6" name="Precondition"/>
    <tableColumn id="7" name="Test Steps"/>
    <tableColumn id="8" name="Expected Result"/>
    <tableColumn id="9" name="Test Type"/>
    <tableColumn id="10" name="Severity"/>
    <tableColumn id="11" name="Owner"/>
    <tableColumn id="12" name="Status"/>
    <tableColumn id="13" name="Defect / Remarks"/>
  </tableColumns>
  <tableStyleInfo name="TableStyleMedium2" showFirstColumn="0" showLastColumn="0" showRowStripes="1" showColumnStripes="0"/>
</table>
</file>

<file path=xl/tables/table6.xml><?xml version="1.0" encoding="utf-8"?>
<table xmlns="http://schemas.openxmlformats.org/spreadsheetml/2006/main" id="6" name="PriorityUserStoriesTable" displayName="PriorityUserStoriesTable" ref="A4:AD394" headerRowCount="1" totalsRowShown="0">
  <tableColumns count="30">
    <tableColumn id="1" name="Priority Rank"/>
    <tableColumn id="2" name="Development Sequence"/>
    <tableColumn id="3" name="User Story ID"/>
    <tableColumn id="4" name="Story Title"/>
    <tableColumn id="5" name="Epic ID"/>
    <tableColumn id="6" name="Module"/>
    <tableColumn id="7" name="Submodule"/>
    <tableColumn id="8" name="Screen ID"/>
    <tableColumn id="9" name="Screen Name"/>
    <tableColumn id="10" name="Story Type"/>
    <tableColumn id="11" name="Persona"/>
    <tableColumn id="12" name="User Story"/>
    <tableColumn id="13" name="Business Value"/>
    <tableColumn id="14" name="Preconditions"/>
    <tableColumn id="15" name="Acceptance Criteria (Given / When / Then)"/>
    <tableColumn id="16" name="Negative / Exception Criteria"/>
    <tableColumn id="17" name="Business Rules"/>
    <tableColumn id="18" name="Dependencies"/>
    <tableColumn id="19" name="API &amp; Data Impact"/>
    <tableColumn id="20" name="Priority"/>
    <tableColumn id="21" name="Target Release"/>
    <tableColumn id="22" name="Story Points"/>
    <tableColumn id="23" name="Sprint"/>
    <tableColumn id="24" name="Story Status"/>
    <tableColumn id="25" name="Progress %"/>
    <tableColumn id="26" name="Assignee"/>
    <tableColumn id="27" name="QA Test ID"/>
    <tableColumn id="28" name="Definition of Ready"/>
    <tableColumn id="29" name="Definition of Done"/>
    <tableColumn id="30"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9.xml.rels><Relationships xmlns="http://schemas.openxmlformats.org/package/2006/relationships"><Relationship Type="http://schemas.openxmlformats.org/officeDocument/2006/relationships/table" Target="/xl/tables/table6.xml" Id="rId1"/></Relationships>
</file>

<file path=xl/worksheets/sheet1.xml><?xml version="1.0" encoding="utf-8"?>
<worksheet xmlns="http://schemas.openxmlformats.org/spreadsheetml/2006/main">
  <sheetPr>
    <outlinePr summaryBelow="1" summaryRight="1"/>
    <pageSetUpPr/>
  </sheetPr>
  <dimension ref="A1:L44"/>
  <sheetViews>
    <sheetView showGridLines="0" workbookViewId="0">
      <selection activeCell="A1" sqref="A1:L1"/>
    </sheetView>
  </sheetViews>
  <sheetFormatPr baseColWidth="8" defaultRowHeight="14"/>
  <cols>
    <col width="25" customWidth="1" style="43" min="1" max="1"/>
    <col width="11" customWidth="1" style="43" min="2" max="2"/>
    <col width="16" customWidth="1" style="43" min="3" max="3"/>
    <col width="14" customWidth="1" style="43" min="4" max="4"/>
    <col width="13" customWidth="1" style="43" min="5" max="5"/>
    <col width="8" customWidth="1" style="43" min="6" max="6"/>
    <col width="32" customWidth="1" style="43" min="7" max="7"/>
    <col width="12" customWidth="1" style="43" min="8" max="8"/>
    <col width="9" customWidth="1" style="43" min="9" max="9"/>
    <col width="10" customWidth="1" style="43" min="10" max="10"/>
    <col width="15" customWidth="1" style="43" min="11" max="11"/>
    <col width="11" customWidth="1" style="43" min="12" max="12"/>
  </cols>
  <sheetData>
    <row r="1" ht="30" customHeight="1" s="43">
      <c r="A1" s="50" t="inlineStr">
        <is>
          <t>Chirala Bay Resort PMS — Development Control Dashboard</t>
        </is>
      </c>
    </row>
    <row r="2">
      <c r="A2" s="42" t="inlineStr">
        <is>
          <t>Scope: 130 planned screens | 120 screen designs completed | Development tracking starts at Not Started | Update the Screen Requirements sheet to drive this dashboard</t>
        </is>
      </c>
    </row>
    <row r="4">
      <c r="A4" s="51" t="inlineStr">
        <is>
          <t>Total Screens</t>
        </is>
      </c>
      <c r="D4" s="51" t="inlineStr">
        <is>
          <t>Designs Completed</t>
        </is>
      </c>
      <c r="G4" s="51" t="inlineStr">
        <is>
          <t>Development Done</t>
        </is>
      </c>
      <c r="J4" s="51" t="inlineStr">
        <is>
          <t>Overall Progress</t>
        </is>
      </c>
    </row>
    <row r="5">
      <c r="A5" s="44">
        <f>COUNTA('Screen Requirements'!$B$5:$B$134)</f>
        <v/>
      </c>
      <c r="B5" s="45" t="n"/>
      <c r="C5" s="46" t="n"/>
      <c r="D5" s="44">
        <f>COUNTIF('Screen Requirements'!$C$5:$C$134,"Completed")</f>
        <v/>
      </c>
      <c r="E5" s="45" t="n"/>
      <c r="F5" s="46" t="n"/>
      <c r="G5" s="44">
        <f>COUNTIF('Screen Requirements'!$N$5:$N$134,"Done")</f>
        <v/>
      </c>
      <c r="H5" s="45" t="n"/>
      <c r="I5" s="46" t="n"/>
      <c r="J5" s="53">
        <f>AVERAGE('Screen Requirements'!$O$5:$O$134)</f>
        <v/>
      </c>
      <c r="K5" s="45" t="n"/>
      <c r="L5" s="46" t="n"/>
    </row>
    <row r="6">
      <c r="A6" s="47" t="n"/>
      <c r="B6" s="48" t="n"/>
      <c r="C6" s="49" t="n"/>
      <c r="D6" s="47" t="n"/>
      <c r="E6" s="48" t="n"/>
      <c r="F6" s="49" t="n"/>
      <c r="G6" s="47" t="n"/>
      <c r="H6" s="48" t="n"/>
      <c r="I6" s="49" t="n"/>
      <c r="J6" s="47" t="n"/>
      <c r="K6" s="48" t="n"/>
      <c r="L6" s="49" t="n"/>
    </row>
    <row r="8">
      <c r="A8" s="52" t="inlineStr">
        <is>
          <t>Module Progress</t>
        </is>
      </c>
      <c r="G8" s="52" t="inlineStr">
        <is>
          <t>Delivery Sequence</t>
        </is>
      </c>
      <c r="H8" s="52" t="inlineStr">
        <is>
          <t>Delivery Sequence</t>
        </is>
      </c>
      <c r="I8" s="52" t="inlineStr">
        <is>
          <t>Delivery Sequence</t>
        </is>
      </c>
      <c r="J8" s="52" t="inlineStr">
        <is>
          <t>Delivery Sequence</t>
        </is>
      </c>
      <c r="K8" s="52" t="inlineStr">
        <is>
          <t>Delivery Sequence</t>
        </is>
      </c>
      <c r="L8" s="52" t="inlineStr">
        <is>
          <t>Delivery Sequence</t>
        </is>
      </c>
    </row>
    <row r="9" ht="28" customHeight="1" s="43">
      <c r="A9" s="1" t="inlineStr">
        <is>
          <t>Module</t>
        </is>
      </c>
      <c r="B9" s="2" t="inlineStr">
        <is>
          <t>Screens</t>
        </is>
      </c>
      <c r="C9" s="2" t="inlineStr">
        <is>
          <t>Done</t>
        </is>
      </c>
      <c r="D9" s="3" t="inlineStr">
        <is>
          <t>Average Progress</t>
        </is>
      </c>
      <c r="F9" s="1" t="inlineStr">
        <is>
          <t>Phase</t>
        </is>
      </c>
      <c r="G9" s="2" t="inlineStr">
        <is>
          <t>Phase Name</t>
        </is>
      </c>
      <c r="H9" s="2" t="inlineStr">
        <is>
          <t>Sprint(s)</t>
        </is>
      </c>
      <c r="I9" s="2" t="inlineStr">
        <is>
          <t>Weeks</t>
        </is>
      </c>
      <c r="J9" s="2" t="inlineStr">
        <is>
          <t>Screens</t>
        </is>
      </c>
      <c r="K9" s="2" t="inlineStr">
        <is>
          <t>Status</t>
        </is>
      </c>
      <c r="L9" s="3" t="inlineStr">
        <is>
          <t>Progress</t>
        </is>
      </c>
    </row>
    <row r="10">
      <c r="A10" t="inlineStr">
        <is>
          <t>Overview</t>
        </is>
      </c>
      <c r="B10">
        <f>COUNTIF('Screen Requirements'!$D$5:$D$134,A10)</f>
        <v/>
      </c>
      <c r="C10">
        <f>COUNTIFS('Screen Requirements'!$D$5:$D$134,A10,'Screen Requirements'!$N$5:$N$134,"Done")</f>
        <v/>
      </c>
      <c r="D10" s="21">
        <f>IF(B10=0,0,SUMIF('Screen Requirements'!$D$5:$D$134,A10,'Screen Requirements'!$O$5:$O$134)/B10)</f>
        <v/>
      </c>
      <c r="F10" t="n">
        <v>1</v>
      </c>
      <c r="G10" t="inlineStr">
        <is>
          <t>Core Platform, Security &amp; Masters</t>
        </is>
      </c>
      <c r="H10" t="inlineStr">
        <is>
          <t>S01-S02</t>
        </is>
      </c>
      <c r="I10" t="n">
        <v>4</v>
      </c>
      <c r="J10" t="n">
        <v>15</v>
      </c>
      <c r="K10">
        <f>'Development Plan'!L5</f>
        <v/>
      </c>
      <c r="L10" s="21">
        <f>'Development Plan'!M5</f>
        <v/>
      </c>
    </row>
    <row r="11">
      <c r="A11" t="inlineStr">
        <is>
          <t>Front Desk</t>
        </is>
      </c>
      <c r="B11">
        <f>COUNTIF('Screen Requirements'!$D$5:$D$134,A11)</f>
        <v/>
      </c>
      <c r="C11">
        <f>COUNTIFS('Screen Requirements'!$D$5:$D$134,A11,'Screen Requirements'!$N$5:$N$134,"Done")</f>
        <v/>
      </c>
      <c r="D11" s="21">
        <f>IF(B11=0,0,SUMIF('Screen Requirements'!$D$5:$D$134,A11,'Screen Requirements'!$O$5:$O$134)/B11)</f>
        <v/>
      </c>
      <c r="F11" t="n">
        <v>2</v>
      </c>
      <c r="G11" t="inlineStr">
        <is>
          <t>Inventory, Rates &amp; Distribution Foundation</t>
        </is>
      </c>
      <c r="H11" t="inlineStr">
        <is>
          <t>S03-S04</t>
        </is>
      </c>
      <c r="I11" t="n">
        <v>4</v>
      </c>
      <c r="J11" t="n">
        <v>11</v>
      </c>
      <c r="K11">
        <f>'Development Plan'!L6</f>
        <v/>
      </c>
      <c r="L11" s="21">
        <f>'Development Plan'!M6</f>
        <v/>
      </c>
    </row>
    <row r="12">
      <c r="A12" t="inlineStr">
        <is>
          <t>Reservations</t>
        </is>
      </c>
      <c r="B12">
        <f>COUNTIF('Screen Requirements'!$D$5:$D$134,A12)</f>
        <v/>
      </c>
      <c r="C12">
        <f>COUNTIFS('Screen Requirements'!$D$5:$D$134,A12,'Screen Requirements'!$N$5:$N$134,"Done")</f>
        <v/>
      </c>
      <c r="D12" s="21">
        <f>IF(B12=0,0,SUMIF('Screen Requirements'!$D$5:$D$134,A12,'Screen Requirements'!$O$5:$O$134)/B12)</f>
        <v/>
      </c>
      <c r="F12" t="n">
        <v>3</v>
      </c>
      <c r="G12" t="inlineStr">
        <is>
          <t>Reservations, Groups &amp; Front Desk</t>
        </is>
      </c>
      <c r="H12" t="inlineStr">
        <is>
          <t>S05-S07</t>
        </is>
      </c>
      <c r="I12" t="n">
        <v>6</v>
      </c>
      <c r="J12" t="n">
        <v>21</v>
      </c>
      <c r="K12">
        <f>'Development Plan'!L7</f>
        <v/>
      </c>
      <c r="L12" s="21">
        <f>'Development Plan'!M7</f>
        <v/>
      </c>
    </row>
    <row r="13">
      <c r="A13" t="inlineStr">
        <is>
          <t>Housekeeping</t>
        </is>
      </c>
      <c r="B13">
        <f>COUNTIF('Screen Requirements'!$D$5:$D$134,A13)</f>
        <v/>
      </c>
      <c r="C13">
        <f>COUNTIFS('Screen Requirements'!$D$5:$D$134,A13,'Screen Requirements'!$N$5:$N$134,"Done")</f>
        <v/>
      </c>
      <c r="D13" s="21">
        <f>IF(B13=0,0,SUMIF('Screen Requirements'!$D$5:$D$134,A13,'Screen Requirements'!$O$5:$O$134)/B13)</f>
        <v/>
      </c>
      <c r="F13" t="n">
        <v>4</v>
      </c>
      <c r="G13" t="inlineStr">
        <is>
          <t>Guest CRM, Privacy &amp; Communications</t>
        </is>
      </c>
      <c r="H13" t="inlineStr">
        <is>
          <t>S08-S09</t>
        </is>
      </c>
      <c r="I13" t="n">
        <v>4</v>
      </c>
      <c r="J13" t="n">
        <v>11</v>
      </c>
      <c r="K13">
        <f>'Development Plan'!L8</f>
        <v/>
      </c>
      <c r="L13" s="21">
        <f>'Development Plan'!M8</f>
        <v/>
      </c>
    </row>
    <row r="14">
      <c r="A14" t="inlineStr">
        <is>
          <t>Property &amp; Rooms</t>
        </is>
      </c>
      <c r="B14">
        <f>COUNTIF('Screen Requirements'!$D$5:$D$134,A14)</f>
        <v/>
      </c>
      <c r="C14">
        <f>COUNTIFS('Screen Requirements'!$D$5:$D$134,A14,'Screen Requirements'!$N$5:$N$134,"Done")</f>
        <v/>
      </c>
      <c r="D14" s="21">
        <f>IF(B14=0,0,SUMIF('Screen Requirements'!$D$5:$D$134,A14,'Screen Requirements'!$O$5:$O$134)/B14)</f>
        <v/>
      </c>
      <c r="F14" t="n">
        <v>5</v>
      </c>
      <c r="G14" t="inlineStr">
        <is>
          <t>Housekeeping &amp; Guest Services</t>
        </is>
      </c>
      <c r="H14" t="inlineStr">
        <is>
          <t>S10-S11</t>
        </is>
      </c>
      <c r="I14" t="n">
        <v>4</v>
      </c>
      <c r="J14" t="n">
        <v>8</v>
      </c>
      <c r="K14">
        <f>'Development Plan'!L9</f>
        <v/>
      </c>
      <c r="L14" s="21">
        <f>'Development Plan'!M9</f>
        <v/>
      </c>
    </row>
    <row r="15">
      <c r="A15" t="inlineStr">
        <is>
          <t>Guest CRM</t>
        </is>
      </c>
      <c r="B15">
        <f>COUNTIF('Screen Requirements'!$D$5:$D$134,A15)</f>
        <v/>
      </c>
      <c r="C15">
        <f>COUNTIFS('Screen Requirements'!$D$5:$D$134,A15,'Screen Requirements'!$N$5:$N$134,"Done")</f>
        <v/>
      </c>
      <c r="D15" s="21">
        <f>IF(B15=0,0,SUMIF('Screen Requirements'!$D$5:$D$134,A15,'Screen Requirements'!$O$5:$O$134)/B15)</f>
        <v/>
      </c>
      <c r="F15" t="n">
        <v>6</v>
      </c>
      <c r="G15" t="inlineStr">
        <is>
          <t>Restaurant POS &amp; Kitchen</t>
        </is>
      </c>
      <c r="H15" t="inlineStr">
        <is>
          <t>S12-S13</t>
        </is>
      </c>
      <c r="I15" t="n">
        <v>4</v>
      </c>
      <c r="J15" t="n">
        <v>9</v>
      </c>
      <c r="K15">
        <f>'Development Plan'!L10</f>
        <v/>
      </c>
      <c r="L15" s="21">
        <f>'Development Plan'!M10</f>
        <v/>
      </c>
    </row>
    <row r="16">
      <c r="A16" t="inlineStr">
        <is>
          <t>Food &amp; Beverage</t>
        </is>
      </c>
      <c r="B16">
        <f>COUNTIF('Screen Requirements'!$D$5:$D$134,A16)</f>
        <v/>
      </c>
      <c r="C16">
        <f>COUNTIFS('Screen Requirements'!$D$5:$D$134,A16,'Screen Requirements'!$N$5:$N$134,"Done")</f>
        <v/>
      </c>
      <c r="D16" s="21">
        <f>IF(B16=0,0,SUMIF('Screen Requirements'!$D$5:$D$134,A16,'Screen Requirements'!$O$5:$O$134)/B16)</f>
        <v/>
      </c>
      <c r="F16" t="n">
        <v>7</v>
      </c>
      <c r="G16" t="inlineStr">
        <is>
          <t>Inventory &amp; Procurement</t>
        </is>
      </c>
      <c r="H16" t="inlineStr">
        <is>
          <t>S14-S15</t>
        </is>
      </c>
      <c r="I16" t="n">
        <v>4</v>
      </c>
      <c r="J16" t="n">
        <v>10</v>
      </c>
      <c r="K16">
        <f>'Development Plan'!L11</f>
        <v/>
      </c>
      <c r="L16" s="21">
        <f>'Development Plan'!M11</f>
        <v/>
      </c>
    </row>
    <row r="17">
      <c r="A17" t="inlineStr">
        <is>
          <t>Guest Services</t>
        </is>
      </c>
      <c r="B17">
        <f>COUNTIF('Screen Requirements'!$D$5:$D$134,A17)</f>
        <v/>
      </c>
      <c r="C17">
        <f>COUNTIFS('Screen Requirements'!$D$5:$D$134,A17,'Screen Requirements'!$N$5:$N$134,"Done")</f>
        <v/>
      </c>
      <c r="D17" s="21">
        <f>IF(B17=0,0,SUMIF('Screen Requirements'!$D$5:$D$134,A17,'Screen Requirements'!$O$5:$O$134)/B17)</f>
        <v/>
      </c>
      <c r="F17" t="n">
        <v>8</v>
      </c>
      <c r="G17" t="inlineStr">
        <is>
          <t>Maintenance &amp; Asset Operations</t>
        </is>
      </c>
      <c r="H17" t="inlineStr">
        <is>
          <t>S16</t>
        </is>
      </c>
      <c r="I17" t="n">
        <v>2</v>
      </c>
      <c r="J17" t="n">
        <v>6</v>
      </c>
      <c r="K17">
        <f>'Development Plan'!L12</f>
        <v/>
      </c>
      <c r="L17" s="21">
        <f>'Development Plan'!M12</f>
        <v/>
      </c>
    </row>
    <row r="18">
      <c r="A18" t="inlineStr">
        <is>
          <t>Activities</t>
        </is>
      </c>
      <c r="B18">
        <f>COUNTIF('Screen Requirements'!$D$5:$D$134,A18)</f>
        <v/>
      </c>
      <c r="C18">
        <f>COUNTIFS('Screen Requirements'!$D$5:$D$134,A18,'Screen Requirements'!$N$5:$N$134,"Done")</f>
        <v/>
      </c>
      <c r="D18" s="21">
        <f>IF(B18=0,0,SUMIF('Screen Requirements'!$D$5:$D$134,A18,'Screen Requirements'!$O$5:$O$134)/B18)</f>
        <v/>
      </c>
      <c r="F18" t="n">
        <v>9</v>
      </c>
      <c r="G18" t="inlineStr">
        <is>
          <t>Activities, Spa, Events &amp; Transport</t>
        </is>
      </c>
      <c r="H18" t="inlineStr">
        <is>
          <t>S17-S19</t>
        </is>
      </c>
      <c r="I18" t="n">
        <v>6</v>
      </c>
      <c r="J18" t="n">
        <v>17</v>
      </c>
      <c r="K18">
        <f>'Development Plan'!L13</f>
        <v/>
      </c>
      <c r="L18" s="21">
        <f>'Development Plan'!M13</f>
        <v/>
      </c>
    </row>
    <row r="19">
      <c r="A19" t="inlineStr">
        <is>
          <t>Spa</t>
        </is>
      </c>
      <c r="B19">
        <f>COUNTIF('Screen Requirements'!$D$5:$D$134,A19)</f>
        <v/>
      </c>
      <c r="C19">
        <f>COUNTIFS('Screen Requirements'!$D$5:$D$134,A19,'Screen Requirements'!$N$5:$N$134,"Done")</f>
        <v/>
      </c>
      <c r="D19" s="21">
        <f>IF(B19=0,0,SUMIF('Screen Requirements'!$D$5:$D$134,A19,'Screen Requirements'!$O$5:$O$134)/B19)</f>
        <v/>
      </c>
      <c r="F19" t="n">
        <v>10</v>
      </c>
      <c r="G19" t="inlineStr">
        <is>
          <t>Workforce, Finance &amp; Analytics</t>
        </is>
      </c>
      <c r="H19" t="inlineStr">
        <is>
          <t>S20-S22</t>
        </is>
      </c>
      <c r="I19" t="n">
        <v>6</v>
      </c>
      <c r="J19" t="n">
        <v>10</v>
      </c>
      <c r="K19">
        <f>'Development Plan'!L14</f>
        <v/>
      </c>
      <c r="L19" s="21">
        <f>'Development Plan'!M14</f>
        <v/>
      </c>
    </row>
    <row r="20">
      <c r="A20" t="inlineStr">
        <is>
          <t>Events &amp; Banquets</t>
        </is>
      </c>
      <c r="B20">
        <f>COUNTIF('Screen Requirements'!$D$5:$D$134,A20)</f>
        <v/>
      </c>
      <c r="C20">
        <f>COUNTIFS('Screen Requirements'!$D$5:$D$134,A20,'Screen Requirements'!$N$5:$N$134,"Done")</f>
        <v/>
      </c>
      <c r="D20" s="21">
        <f>IF(B20=0,0,SUMIF('Screen Requirements'!$D$5:$D$134,A20,'Screen Requirements'!$O$5:$O$134)/B20)</f>
        <v/>
      </c>
      <c r="F20" t="n">
        <v>11</v>
      </c>
      <c r="G20" t="inlineStr">
        <is>
          <t>Portals, Integrations &amp; AI</t>
        </is>
      </c>
      <c r="H20" t="inlineStr">
        <is>
          <t>S23-S25</t>
        </is>
      </c>
      <c r="I20" t="n">
        <v>6</v>
      </c>
      <c r="J20" t="n">
        <v>11</v>
      </c>
      <c r="K20">
        <f>'Development Plan'!L15</f>
        <v/>
      </c>
      <c r="L20" s="21">
        <f>'Development Plan'!M15</f>
        <v/>
      </c>
    </row>
    <row r="21">
      <c r="A21" t="inlineStr">
        <is>
          <t>Transport</t>
        </is>
      </c>
      <c r="B21">
        <f>COUNTIF('Screen Requirements'!$D$5:$D$134,A21)</f>
        <v/>
      </c>
      <c r="C21">
        <f>COUNTIFS('Screen Requirements'!$D$5:$D$134,A21,'Screen Requirements'!$N$5:$N$134,"Done")</f>
        <v/>
      </c>
      <c r="D21" s="21">
        <f>IF(B21=0,0,SUMIF('Screen Requirements'!$D$5:$D$134,A21,'Screen Requirements'!$O$5:$O$134)/B21)</f>
        <v/>
      </c>
      <c r="F21" t="n">
        <v>12</v>
      </c>
      <c r="G21" t="inlineStr">
        <is>
          <t>Executive Dashboard, UAT &amp; Release</t>
        </is>
      </c>
      <c r="H21" t="inlineStr">
        <is>
          <t>S26-S27</t>
        </is>
      </c>
      <c r="I21" t="n">
        <v>4</v>
      </c>
      <c r="J21" t="n">
        <v>1</v>
      </c>
      <c r="K21">
        <f>'Development Plan'!L16</f>
        <v/>
      </c>
      <c r="L21" s="21">
        <f>'Development Plan'!M16</f>
        <v/>
      </c>
    </row>
    <row r="22">
      <c r="A22" t="inlineStr">
        <is>
          <t>Maintenance</t>
        </is>
      </c>
      <c r="B22">
        <f>COUNTIF('Screen Requirements'!$D$5:$D$134,A22)</f>
        <v/>
      </c>
      <c r="C22">
        <f>COUNTIFS('Screen Requirements'!$D$5:$D$134,A22,'Screen Requirements'!$N$5:$N$134,"Done")</f>
        <v/>
      </c>
      <c r="D22" s="21">
        <f>IF(B22=0,0,SUMIF('Screen Requirements'!$D$5:$D$134,A22,'Screen Requirements'!$O$5:$O$134)/B22)</f>
        <v/>
      </c>
    </row>
    <row r="23">
      <c r="A23" t="inlineStr">
        <is>
          <t>Inventory</t>
        </is>
      </c>
      <c r="B23">
        <f>COUNTIF('Screen Requirements'!$D$5:$D$134,A23)</f>
        <v/>
      </c>
      <c r="C23">
        <f>COUNTIFS('Screen Requirements'!$D$5:$D$134,A23,'Screen Requirements'!$N$5:$N$134,"Done")</f>
        <v/>
      </c>
      <c r="D23" s="21">
        <f>IF(B23=0,0,SUMIF('Screen Requirements'!$D$5:$D$134,A23,'Screen Requirements'!$O$5:$O$134)/B23)</f>
        <v/>
      </c>
    </row>
    <row r="24">
      <c r="A24" t="inlineStr">
        <is>
          <t>Workforce</t>
        </is>
      </c>
      <c r="B24">
        <f>COUNTIF('Screen Requirements'!$D$5:$D$134,A24)</f>
        <v/>
      </c>
      <c r="C24">
        <f>COUNTIFS('Screen Requirements'!$D$5:$D$134,A24,'Screen Requirements'!$N$5:$N$134,"Done")</f>
        <v/>
      </c>
      <c r="D24" s="21">
        <f>IF(B24=0,0,SUMIF('Screen Requirements'!$D$5:$D$134,A24,'Screen Requirements'!$O$5:$O$134)/B24)</f>
        <v/>
      </c>
    </row>
    <row r="25">
      <c r="A25" t="inlineStr">
        <is>
          <t>Finance</t>
        </is>
      </c>
      <c r="B25">
        <f>COUNTIF('Screen Requirements'!$D$5:$D$134,A25)</f>
        <v/>
      </c>
      <c r="C25">
        <f>COUNTIFS('Screen Requirements'!$D$5:$D$134,A25,'Screen Requirements'!$N$5:$N$134,"Done")</f>
        <v/>
      </c>
      <c r="D25" s="21">
        <f>IF(B25=0,0,SUMIF('Screen Requirements'!$D$5:$D$134,A25,'Screen Requirements'!$O$5:$O$134)/B25)</f>
        <v/>
      </c>
    </row>
    <row r="26">
      <c r="A26" t="inlineStr">
        <is>
          <t>Purchasing</t>
        </is>
      </c>
      <c r="B26">
        <f>COUNTIF('Screen Requirements'!$D$5:$D$134,A26)</f>
        <v/>
      </c>
      <c r="C26">
        <f>COUNTIFS('Screen Requirements'!$D$5:$D$134,A26,'Screen Requirements'!$N$5:$N$134,"Done")</f>
        <v/>
      </c>
      <c r="D26" s="21">
        <f>IF(B26=0,0,SUMIF('Screen Requirements'!$D$5:$D$134,A26,'Screen Requirements'!$O$5:$O$134)/B26)</f>
        <v/>
      </c>
    </row>
    <row r="27">
      <c r="A27" t="inlineStr">
        <is>
          <t>Distribution</t>
        </is>
      </c>
      <c r="B27">
        <f>COUNTIF('Screen Requirements'!$D$5:$D$134,A27)</f>
        <v/>
      </c>
      <c r="C27">
        <f>COUNTIFS('Screen Requirements'!$D$5:$D$134,A27,'Screen Requirements'!$N$5:$N$134,"Done")</f>
        <v/>
      </c>
      <c r="D27" s="21">
        <f>IF(B27=0,0,SUMIF('Screen Requirements'!$D$5:$D$134,A27,'Screen Requirements'!$O$5:$O$134)/B27)</f>
        <v/>
      </c>
    </row>
    <row r="28">
      <c r="A28" t="inlineStr">
        <is>
          <t>Administration</t>
        </is>
      </c>
      <c r="B28">
        <f>COUNTIF('Screen Requirements'!$D$5:$D$134,A28)</f>
        <v/>
      </c>
      <c r="C28">
        <f>COUNTIFS('Screen Requirements'!$D$5:$D$134,A28,'Screen Requirements'!$N$5:$N$134,"Done")</f>
        <v/>
      </c>
      <c r="D28" s="21">
        <f>IF(B28=0,0,SUMIF('Screen Requirements'!$D$5:$D$134,A28,'Screen Requirements'!$O$5:$O$134)/B28)</f>
        <v/>
      </c>
    </row>
    <row r="29">
      <c r="A29" t="inlineStr">
        <is>
          <t>Analytics</t>
        </is>
      </c>
      <c r="B29">
        <f>COUNTIF('Screen Requirements'!$D$5:$D$134,A29)</f>
        <v/>
      </c>
      <c r="C29">
        <f>COUNTIFS('Screen Requirements'!$D$5:$D$134,A29,'Screen Requirements'!$N$5:$N$134,"Done")</f>
        <v/>
      </c>
      <c r="D29" s="21">
        <f>IF(B29=0,0,SUMIF('Screen Requirements'!$D$5:$D$134,A29,'Screen Requirements'!$O$5:$O$134)/B29)</f>
        <v/>
      </c>
    </row>
    <row r="30">
      <c r="A30" t="inlineStr">
        <is>
          <t>Groups</t>
        </is>
      </c>
      <c r="B30">
        <f>COUNTIF('Screen Requirements'!$D$5:$D$134,A30)</f>
        <v/>
      </c>
      <c r="C30">
        <f>COUNTIFS('Screen Requirements'!$D$5:$D$134,A30,'Screen Requirements'!$N$5:$N$134,"Done")</f>
        <v/>
      </c>
      <c r="D30" s="21">
        <f>IF(B30=0,0,SUMIF('Screen Requirements'!$D$5:$D$134,A30,'Screen Requirements'!$O$5:$O$134)/B30)</f>
        <v/>
      </c>
    </row>
    <row r="31">
      <c r="A31" t="inlineStr">
        <is>
          <t>Revenue Management</t>
        </is>
      </c>
      <c r="B31">
        <f>COUNTIF('Screen Requirements'!$D$5:$D$134,A31)</f>
        <v/>
      </c>
      <c r="C31">
        <f>COUNTIFS('Screen Requirements'!$D$5:$D$134,A31,'Screen Requirements'!$N$5:$N$134,"Done")</f>
        <v/>
      </c>
      <c r="D31" s="21">
        <f>IF(B31=0,0,SUMIF('Screen Requirements'!$D$5:$D$134,A31,'Screen Requirements'!$O$5:$O$134)/B31)</f>
        <v/>
      </c>
    </row>
    <row r="32">
      <c r="A32" t="inlineStr">
        <is>
          <t>AI &amp; Automation</t>
        </is>
      </c>
      <c r="B32">
        <f>COUNTIF('Screen Requirements'!$D$5:$D$134,A32)</f>
        <v/>
      </c>
      <c r="C32">
        <f>COUNTIFS('Screen Requirements'!$D$5:$D$134,A32,'Screen Requirements'!$N$5:$N$134,"Done")</f>
        <v/>
      </c>
      <c r="D32" s="21">
        <f>IF(B32=0,0,SUMIF('Screen Requirements'!$D$5:$D$134,A32,'Screen Requirements'!$O$5:$O$134)/B32)</f>
        <v/>
      </c>
    </row>
    <row r="33">
      <c r="A33" t="inlineStr">
        <is>
          <t>Communications</t>
        </is>
      </c>
      <c r="B33">
        <f>COUNTIF('Screen Requirements'!$D$5:$D$134,A33)</f>
        <v/>
      </c>
      <c r="C33">
        <f>COUNTIFS('Screen Requirements'!$D$5:$D$134,A33,'Screen Requirements'!$N$5:$N$134,"Done")</f>
        <v/>
      </c>
      <c r="D33" s="21">
        <f>IF(B33=0,0,SUMIF('Screen Requirements'!$D$5:$D$134,A33,'Screen Requirements'!$O$5:$O$134)/B33)</f>
        <v/>
      </c>
    </row>
    <row r="34">
      <c r="A34" t="inlineStr">
        <is>
          <t>Guest Portal</t>
        </is>
      </c>
      <c r="B34">
        <f>COUNTIF('Screen Requirements'!$D$5:$D$134,A34)</f>
        <v/>
      </c>
      <c r="C34">
        <f>COUNTIFS('Screen Requirements'!$D$5:$D$134,A34,'Screen Requirements'!$N$5:$N$134,"Done")</f>
        <v/>
      </c>
      <c r="D34" s="21">
        <f>IF(B34=0,0,SUMIF('Screen Requirements'!$D$5:$D$134,A34,'Screen Requirements'!$O$5:$O$134)/B34)</f>
        <v/>
      </c>
    </row>
    <row r="35">
      <c r="A35" t="inlineStr">
        <is>
          <t>Partner Portal</t>
        </is>
      </c>
      <c r="B35">
        <f>COUNTIF('Screen Requirements'!$D$5:$D$134,A35)</f>
        <v/>
      </c>
      <c r="C35">
        <f>COUNTIFS('Screen Requirements'!$D$5:$D$134,A35,'Screen Requirements'!$N$5:$N$134,"Done")</f>
        <v/>
      </c>
      <c r="D35" s="21">
        <f>IF(B35=0,0,SUMIF('Screen Requirements'!$D$5:$D$134,A35,'Screen Requirements'!$O$5:$O$134)/B35)</f>
        <v/>
      </c>
    </row>
    <row r="36">
      <c r="A36" t="inlineStr">
        <is>
          <t>Sales &amp; Marketing</t>
        </is>
      </c>
      <c r="B36">
        <f>COUNTIF('Screen Requirements'!$D$5:$D$134,A36)</f>
        <v/>
      </c>
      <c r="C36">
        <f>COUNTIFS('Screen Requirements'!$D$5:$D$134,A36,'Screen Requirements'!$N$5:$N$134,"Done")</f>
        <v/>
      </c>
      <c r="D36" s="21">
        <f>IF(B36=0,0,SUMIF('Screen Requirements'!$D$5:$D$134,A36,'Screen Requirements'!$O$5:$O$134)/B36)</f>
        <v/>
      </c>
    </row>
    <row r="37">
      <c r="A37" t="inlineStr">
        <is>
          <t>Integrations</t>
        </is>
      </c>
      <c r="B37">
        <f>COUNTIF('Screen Requirements'!$D$5:$D$134,A37)</f>
        <v/>
      </c>
      <c r="C37">
        <f>COUNTIFS('Screen Requirements'!$D$5:$D$134,A37,'Screen Requirements'!$N$5:$N$134,"Done")</f>
        <v/>
      </c>
      <c r="D37" s="21">
        <f>IF(B37=0,0,SUMIF('Screen Requirements'!$D$5:$D$134,A37,'Screen Requirements'!$O$5:$O$134)/B37)</f>
        <v/>
      </c>
    </row>
    <row r="40">
      <c r="A40" s="38" t="inlineStr">
        <is>
          <t>Priority-Based User Story Backlog</t>
        </is>
      </c>
      <c r="B40" s="38" t="n"/>
      <c r="C40" s="38" t="n"/>
      <c r="D40" s="38" t="n"/>
      <c r="E40" s="38" t="n"/>
    </row>
    <row r="41">
      <c r="A41" s="26" t="inlineStr">
        <is>
          <t>Priority</t>
        </is>
      </c>
      <c r="B41" s="27" t="inlineStr">
        <is>
          <t>Stories</t>
        </is>
      </c>
      <c r="C41" s="27" t="inlineStr">
        <is>
          <t>Story Points</t>
        </is>
      </c>
      <c r="D41" s="27" t="inlineStr">
        <is>
          <t>Completed</t>
        </is>
      </c>
      <c r="E41" s="28" t="inlineStr">
        <is>
          <t>Progress</t>
        </is>
      </c>
    </row>
    <row r="42">
      <c r="A42" s="39" t="inlineStr">
        <is>
          <t>Must Have</t>
        </is>
      </c>
      <c r="B42">
        <f>COUNTIF('User Stories &amp; Acceptance'!$T$5:$T$394,A42)</f>
        <v/>
      </c>
      <c r="C42">
        <f>SUMIF('User Stories &amp; Acceptance'!$T$5:$T$394,A42,'User Stories &amp; Acceptance'!$V$5:$V$394)</f>
        <v/>
      </c>
      <c r="D42">
        <f>COUNTIFS('User Stories &amp; Acceptance'!$T$5:$T$394,A42,'User Stories &amp; Acceptance'!$X$5:$X$394,"Done")</f>
        <v/>
      </c>
      <c r="E42" s="21">
        <f>IF(B42=0,0,SUMIF('User Stories &amp; Acceptance'!$T$5:$T$394,A42,'User Stories &amp; Acceptance'!$Y$5:$Y$394)/B42)</f>
        <v/>
      </c>
    </row>
    <row r="43">
      <c r="A43" s="39" t="inlineStr">
        <is>
          <t>Should Have</t>
        </is>
      </c>
      <c r="B43">
        <f>COUNTIF('User Stories &amp; Acceptance'!$T$5:$T$394,A43)</f>
        <v/>
      </c>
      <c r="C43">
        <f>SUMIF('User Stories &amp; Acceptance'!$T$5:$T$394,A43,'User Stories &amp; Acceptance'!$V$5:$V$394)</f>
        <v/>
      </c>
      <c r="D43">
        <f>COUNTIFS('User Stories &amp; Acceptance'!$T$5:$T$394,A43,'User Stories &amp; Acceptance'!$X$5:$X$394,"Done")</f>
        <v/>
      </c>
      <c r="E43" s="21">
        <f>IF(B43=0,0,SUMIF('User Stories &amp; Acceptance'!$T$5:$T$394,A43,'User Stories &amp; Acceptance'!$Y$5:$Y$394)/B43)</f>
        <v/>
      </c>
    </row>
    <row r="44">
      <c r="A44" s="39" t="inlineStr">
        <is>
          <t>Could Have</t>
        </is>
      </c>
      <c r="B44">
        <f>COUNTIF('User Stories &amp; Acceptance'!$T$5:$T$394,A44)</f>
        <v/>
      </c>
      <c r="C44">
        <f>SUMIF('User Stories &amp; Acceptance'!$T$5:$T$394,A44,'User Stories &amp; Acceptance'!$V$5:$V$394)</f>
        <v/>
      </c>
      <c r="D44">
        <f>COUNTIFS('User Stories &amp; Acceptance'!$T$5:$T$394,A44,'User Stories &amp; Acceptance'!$X$5:$X$394,"Done")</f>
        <v/>
      </c>
      <c r="E44" s="21">
        <f>IF(B44=0,0,SUMIF('User Stories &amp; Acceptance'!$T$5:$T$394,A44,'User Stories &amp; Acceptance'!$Y$5:$Y$394)/B44)</f>
        <v/>
      </c>
    </row>
  </sheetData>
  <mergeCells count="11">
    <mergeCell ref="A2:L2"/>
    <mergeCell ref="D5:F6"/>
    <mergeCell ref="A5:C6"/>
    <mergeCell ref="G5:I6"/>
    <mergeCell ref="A1:L1"/>
    <mergeCell ref="D4:F4"/>
    <mergeCell ref="A8:F8"/>
    <mergeCell ref="J5:L6"/>
    <mergeCell ref="G4:I4"/>
    <mergeCell ref="J4:L4"/>
    <mergeCell ref="A4:C4"/>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I31"/>
  <sheetViews>
    <sheetView showGridLines="0" workbookViewId="0">
      <selection activeCell="A1" sqref="A1"/>
    </sheetView>
  </sheetViews>
  <sheetFormatPr baseColWidth="8" defaultRowHeight="14"/>
  <cols>
    <col width="12" customWidth="1" style="43" min="1" max="1"/>
    <col width="24" customWidth="1" style="43" min="2" max="2"/>
    <col width="46" customWidth="1" style="43" min="3" max="3"/>
    <col width="55" customWidth="1" style="43" min="4" max="4"/>
    <col width="38" customWidth="1" style="43" min="5" max="5"/>
    <col width="44" customWidth="1" style="43" min="6" max="6"/>
    <col width="34" customWidth="1" style="43" min="7" max="7"/>
    <col width="12" customWidth="1" style="43" min="8" max="8"/>
    <col width="48" customWidth="1" style="43" min="9" max="9"/>
  </cols>
  <sheetData>
    <row r="1" ht="30" customHeight="1" s="43">
      <c r="A1" s="50" t="inlineStr">
        <is>
          <t>Module Master &amp; Scope Overview</t>
        </is>
      </c>
    </row>
    <row r="3" ht="28" customHeight="1" s="43">
      <c r="A3" s="1" t="inlineStr">
        <is>
          <t>Module ID</t>
        </is>
      </c>
      <c r="B3" s="2" t="inlineStr">
        <is>
          <t>Module</t>
        </is>
      </c>
      <c r="C3" s="2" t="inlineStr">
        <is>
          <t>Business Objective</t>
        </is>
      </c>
      <c r="D3" s="2" t="inlineStr">
        <is>
          <t>Submodules</t>
        </is>
      </c>
      <c r="E3" s="2" t="inlineStr">
        <is>
          <t>Primary Roles</t>
        </is>
      </c>
      <c r="F3" s="2" t="inlineStr">
        <is>
          <t>Core Data Entities</t>
        </is>
      </c>
      <c r="G3" s="2" t="inlineStr">
        <is>
          <t>Key Dependencies</t>
        </is>
      </c>
      <c r="H3" s="2" t="inlineStr">
        <is>
          <t>Screen Count</t>
        </is>
      </c>
      <c r="I3" s="3" t="inlineStr">
        <is>
          <t>Phase(s)</t>
        </is>
      </c>
    </row>
    <row r="4" ht="42" customHeight="1" s="43">
      <c r="A4" s="4" t="inlineStr">
        <is>
          <t>MOD-01</t>
        </is>
      </c>
      <c r="B4" s="4" t="inlineStr">
        <is>
          <t>Overview</t>
        </is>
      </c>
      <c r="C4" s="4" t="inlineStr">
        <is>
          <t>Deliver complete overview capabilities with role-based workflows, validation, auditability and cross-module synchronization.</t>
        </is>
      </c>
      <c r="D4" s="4" t="inlineStr">
        <is>
          <t>Operations Control</t>
        </is>
      </c>
      <c r="E4" s="4" t="inlineStr">
        <is>
          <t>Owner / GM / Department Heads</t>
        </is>
      </c>
      <c r="F4" s="4" t="inlineStr">
        <is>
          <t>dashboard_snapshots, operational_metrics</t>
        </is>
      </c>
      <c r="G4" s="4" t="inlineStr">
        <is>
          <t>All operational modules</t>
        </is>
      </c>
      <c r="H4" s="20">
        <f>COUNTIF('Screen Requirements'!$D$5:$D$134,B4)</f>
        <v/>
      </c>
      <c r="I4" s="4" t="inlineStr">
        <is>
          <t>12. Executive Dashboard, UAT &amp; Release</t>
        </is>
      </c>
    </row>
    <row r="5" ht="42" customHeight="1" s="43">
      <c r="A5" s="4" t="inlineStr">
        <is>
          <t>MOD-02</t>
        </is>
      </c>
      <c r="B5" s="4" t="inlineStr">
        <is>
          <t>Front Desk</t>
        </is>
      </c>
      <c r="C5" s="4" t="inlineStr">
        <is>
          <t>Deliver complete front desk capabilities with role-based workflows, validation, auditability and cross-module synchronization.</t>
        </is>
      </c>
      <c r="D5" s="4" t="inlineStr">
        <is>
          <t>Room Operations, Arrival, Departure &amp; Billing, In-Stay Movement</t>
        </is>
      </c>
      <c r="E5" s="4" t="inlineStr">
        <is>
          <t>Front Office Manager / Receptionist / Cashier</t>
        </is>
      </c>
      <c r="F5" s="4" t="inlineStr">
        <is>
          <t>stays, room_assignments, folios, keys</t>
        </is>
      </c>
      <c r="G5" s="4" t="inlineStr">
        <is>
          <t>Reservations, Rooms, Finance</t>
        </is>
      </c>
      <c r="H5" s="20">
        <f>COUNTIF('Screen Requirements'!$D$5:$D$134,B5)</f>
        <v/>
      </c>
      <c r="I5" s="4" t="inlineStr">
        <is>
          <t>3. Reservations, Groups &amp; Front Desk</t>
        </is>
      </c>
    </row>
    <row r="6" ht="42" customHeight="1" s="43">
      <c r="A6" s="4" t="inlineStr">
        <is>
          <t>MOD-03</t>
        </is>
      </c>
      <c r="B6" s="4" t="inlineStr">
        <is>
          <t>Reservations</t>
        </is>
      </c>
      <c r="C6" s="4" t="inlineStr">
        <is>
          <t>Deliver complete reservations capabilities with role-based workflows, validation, auditability and cross-module synchronization.</t>
        </is>
      </c>
      <c r="D6" s="4" t="inlineStr">
        <is>
          <t>Availability &amp; Calendar, Booking Creation, Booking Details, Booking Modification, Waitlist &amp; Enquiry, No-Show, Data Quality, Notes &amp; Tasks, Ancillary Sales</t>
        </is>
      </c>
      <c r="E6" s="4" t="inlineStr">
        <is>
          <t>Reservation Manager / Agent / Front Desk</t>
        </is>
      </c>
      <c r="F6" s="4" t="inlineStr">
        <is>
          <t>reservations, reservation_guests, reservation_items, deposits</t>
        </is>
      </c>
      <c r="G6" s="4" t="inlineStr">
        <is>
          <t>Rooms, Rates, Guests, Payments</t>
        </is>
      </c>
      <c r="H6" s="20">
        <f>COUNTIF('Screen Requirements'!$D$5:$D$134,B6)</f>
        <v/>
      </c>
      <c r="I6" s="4" t="inlineStr">
        <is>
          <t>3. Reservations, Groups &amp; Front Desk</t>
        </is>
      </c>
    </row>
    <row r="7" ht="42" customHeight="1" s="43">
      <c r="A7" s="4" t="inlineStr">
        <is>
          <t>MOD-04</t>
        </is>
      </c>
      <c r="B7" s="4" t="inlineStr">
        <is>
          <t>Housekeeping</t>
        </is>
      </c>
      <c r="C7" s="4" t="inlineStr">
        <is>
          <t>Deliver complete housekeeping capabilities with role-based workflows, validation, auditability and cross-module synchronization.</t>
        </is>
      </c>
      <c r="D7" s="4" t="inlineStr">
        <is>
          <t>Room Operations, Task Management, Room Status, Lost Property, Laundry Operations, Minibar</t>
        </is>
      </c>
      <c r="E7" s="4" t="inlineStr">
        <is>
          <t>Housekeeping Manager / Supervisor / Attendant</t>
        </is>
      </c>
      <c r="F7" s="4" t="inlineStr">
        <is>
          <t>housekeeping_tasks, room_status_logs, lost_found, linen_movements, minibar_postings</t>
        </is>
      </c>
      <c r="G7" s="4" t="inlineStr">
        <is>
          <t>Rooms, Workforce, Inventory</t>
        </is>
      </c>
      <c r="H7" s="20">
        <f>COUNTIF('Screen Requirements'!$D$5:$D$134,B7)</f>
        <v/>
      </c>
      <c r="I7" s="4" t="inlineStr">
        <is>
          <t>5. Housekeeping &amp; Guest Services</t>
        </is>
      </c>
    </row>
    <row r="8" ht="42" customHeight="1" s="43">
      <c r="A8" s="4" t="inlineStr">
        <is>
          <t>MOD-05</t>
        </is>
      </c>
      <c r="B8" s="4" t="inlineStr">
        <is>
          <t>Property &amp; Rooms</t>
        </is>
      </c>
      <c r="C8" s="4" t="inlineStr">
        <is>
          <t>Deliver complete property &amp; rooms capabilities with role-based workflows, validation, auditability and cross-module synchronization.</t>
        </is>
      </c>
      <c r="D8" s="4" t="inlineStr">
        <is>
          <t>Inventory, Room Details, Room Master, Room Type Master, Property Hierarchy, Amenities Master, Availability Control, Status Audit</t>
        </is>
      </c>
      <c r="E8" s="4" t="inlineStr">
        <is>
          <t>Property Admin / Front Office / Housekeeping</t>
        </is>
      </c>
      <c r="F8" s="4" t="inlineStr">
        <is>
          <t>properties, buildings, floors, room_types, rooms, amenities</t>
        </is>
      </c>
      <c r="G8" s="4" t="inlineStr">
        <is>
          <t>Administration</t>
        </is>
      </c>
      <c r="H8" s="20">
        <f>COUNTIF('Screen Requirements'!$D$5:$D$134,B8)</f>
        <v/>
      </c>
      <c r="I8" s="4" t="inlineStr">
        <is>
          <t>2. Inventory, Rates &amp; Distribution Foundation | 1. Core Platform, Security &amp; Masters</t>
        </is>
      </c>
    </row>
    <row r="9" ht="42" customHeight="1" s="43">
      <c r="A9" s="4" t="inlineStr">
        <is>
          <t>MOD-06</t>
        </is>
      </c>
      <c r="B9" s="4" t="inlineStr">
        <is>
          <t>Guest CRM</t>
        </is>
      </c>
      <c r="C9" s="4" t="inlineStr">
        <is>
          <t>Deliver complete guest crm capabilities with role-based workflows, validation, auditability and cross-module synchronization.</t>
        </is>
      </c>
      <c r="D9" s="4" t="inlineStr">
        <is>
          <t>Guest 360, Guest Directory, CRM Dashboard, Guest Master, Data Quality, Preferences &amp; Privacy, Identity Verification, Loyalty, Privacy Operations</t>
        </is>
      </c>
      <c r="E9" s="4" t="inlineStr">
        <is>
          <t>CRM Manager / Front Desk / Reservations</t>
        </is>
      </c>
      <c r="F9" s="4" t="inlineStr">
        <is>
          <t>guests, guest_preferences, consents, documents, loyalty_accounts</t>
        </is>
      </c>
      <c r="G9" s="4" t="inlineStr">
        <is>
          <t>Reservations, Communications</t>
        </is>
      </c>
      <c r="H9" s="20">
        <f>COUNTIF('Screen Requirements'!$D$5:$D$134,B9)</f>
        <v/>
      </c>
      <c r="I9" s="4" t="inlineStr">
        <is>
          <t>4. Guest CRM, Privacy &amp; Communications</t>
        </is>
      </c>
    </row>
    <row r="10" ht="42" customHeight="1" s="43">
      <c r="A10" s="4" t="inlineStr">
        <is>
          <t>MOD-07</t>
        </is>
      </c>
      <c r="B10" s="4" t="inlineStr">
        <is>
          <t>Food &amp; Beverage</t>
        </is>
      </c>
      <c r="C10" s="4" t="inlineStr">
        <is>
          <t>Deliver complete food &amp; beverage capabilities with role-based workflows, validation, auditability and cross-module synchronization.</t>
        </is>
      </c>
      <c r="D10" s="4" t="inlineStr">
        <is>
          <t>Kitchen, Restaurant POS, Restaurant Layout, Order Management, Billing, Controls, Menu Master, Outlet Configuration</t>
        </is>
      </c>
      <c r="E10" s="4" t="inlineStr">
        <is>
          <t>F&amp;B Manager / Server / POS Cashier / Kitchen</t>
        </is>
      </c>
      <c r="F10" s="4" t="inlineStr">
        <is>
          <t>outlets, tables, menu_items, pos_orders, pos_bills, kitchen_tickets</t>
        </is>
      </c>
      <c r="G10" s="4" t="inlineStr">
        <is>
          <t>Inventory, Finance, Guests</t>
        </is>
      </c>
      <c r="H10" s="20">
        <f>COUNTIF('Screen Requirements'!$D$5:$D$134,B10)</f>
        <v/>
      </c>
      <c r="I10" s="4" t="inlineStr">
        <is>
          <t>6. Restaurant POS &amp; Kitchen</t>
        </is>
      </c>
    </row>
    <row r="11" ht="42" customHeight="1" s="43">
      <c r="A11" s="4" t="inlineStr">
        <is>
          <t>MOD-08</t>
        </is>
      </c>
      <c r="B11" s="4" t="inlineStr">
        <is>
          <t>Guest Services</t>
        </is>
      </c>
      <c r="C11" s="4" t="inlineStr">
        <is>
          <t>Deliver complete guest services capabilities with role-based workflows, validation, auditability and cross-module synchronization.</t>
        </is>
      </c>
      <c r="D11" s="4" t="inlineStr">
        <is>
          <t>Service Desk</t>
        </is>
      </c>
      <c r="E11" s="4" t="inlineStr">
        <is>
          <t>Guest Relations / Concierge / Front Desk</t>
        </is>
      </c>
      <c r="F11" s="4" t="inlineStr">
        <is>
          <t>service_requests, service_tasks, guest_notes</t>
        </is>
      </c>
      <c r="G11" s="4" t="inlineStr">
        <is>
          <t>Guests, Rooms, Workforce</t>
        </is>
      </c>
      <c r="H11" s="20">
        <f>COUNTIF('Screen Requirements'!$D$5:$D$134,B11)</f>
        <v/>
      </c>
      <c r="I11" s="4" t="inlineStr">
        <is>
          <t>5. Housekeeping &amp; Guest Services</t>
        </is>
      </c>
    </row>
    <row r="12" ht="42" customHeight="1" s="43">
      <c r="A12" s="4" t="inlineStr">
        <is>
          <t>MOD-09</t>
        </is>
      </c>
      <c r="B12" s="4" t="inlineStr">
        <is>
          <t>Activities</t>
        </is>
      </c>
      <c r="C12" s="4" t="inlineStr">
        <is>
          <t>Deliver complete activities capabilities with role-based workflows, validation, auditability and cross-module synchronization.</t>
        </is>
      </c>
      <c r="D12" s="4" t="inlineStr">
        <is>
          <t>Experience Operations, Activity Master, Bookings</t>
        </is>
      </c>
      <c r="E12" s="4" t="inlineStr">
        <is>
          <t>Activities Manager / Concierge</t>
        </is>
      </c>
      <c r="F12" s="4" t="inlineStr">
        <is>
          <t>activities, activity_slots, activity_bookings</t>
        </is>
      </c>
      <c r="G12" s="4" t="inlineStr">
        <is>
          <t>Guests, Resources, Finance</t>
        </is>
      </c>
      <c r="H12" s="20">
        <f>COUNTIF('Screen Requirements'!$D$5:$D$134,B12)</f>
        <v/>
      </c>
      <c r="I12" s="4" t="inlineStr">
        <is>
          <t>9. Activities, Spa, Events &amp; Transport</t>
        </is>
      </c>
    </row>
    <row r="13" ht="42" customHeight="1" s="43">
      <c r="A13" s="4" t="inlineStr">
        <is>
          <t>MOD-10</t>
        </is>
      </c>
      <c r="B13" s="4" t="inlineStr">
        <is>
          <t>Spa</t>
        </is>
      </c>
      <c r="C13" s="4" t="inlineStr">
        <is>
          <t>Deliver complete spa capabilities with role-based workflows, validation, auditability and cross-module synchronization.</t>
        </is>
      </c>
      <c r="D13" s="4" t="inlineStr">
        <is>
          <t>Appointment Operations, Treatment Master, Resources, Appointments</t>
        </is>
      </c>
      <c r="E13" s="4" t="inlineStr">
        <is>
          <t>Spa Manager / Receptionist / Therapist</t>
        </is>
      </c>
      <c r="F13" s="4" t="inlineStr">
        <is>
          <t>treatments, spa_resources, spa_appointments</t>
        </is>
      </c>
      <c r="G13" s="4" t="inlineStr">
        <is>
          <t>Guests, Workforce, Finance</t>
        </is>
      </c>
      <c r="H13" s="20">
        <f>COUNTIF('Screen Requirements'!$D$5:$D$134,B13)</f>
        <v/>
      </c>
      <c r="I13" s="4" t="inlineStr">
        <is>
          <t>9. Activities, Spa, Events &amp; Transport</t>
        </is>
      </c>
    </row>
    <row r="14" ht="42" customHeight="1" s="43">
      <c r="A14" s="4" t="inlineStr">
        <is>
          <t>MOD-11</t>
        </is>
      </c>
      <c r="B14" s="4" t="inlineStr">
        <is>
          <t>Events &amp; Banquets</t>
        </is>
      </c>
      <c r="C14" s="4" t="inlineStr">
        <is>
          <t>Deliver complete events &amp; banquets capabilities with role-based workflows, validation, auditability and cross-module synchronization.</t>
        </is>
      </c>
      <c r="D14" s="4" t="inlineStr">
        <is>
          <t>Event Operations, Lead Management, Quotation, Event Execution, Event Modification</t>
        </is>
      </c>
      <c r="E14" s="4" t="inlineStr">
        <is>
          <t>Sales / Event Manager / Banquet Operations</t>
        </is>
      </c>
      <c r="F14" s="4" t="inlineStr">
        <is>
          <t>event_leads, quotations, events, function_sheets</t>
        </is>
      </c>
      <c r="G14" s="4" t="inlineStr">
        <is>
          <t>Guests, Inventory, Finance</t>
        </is>
      </c>
      <c r="H14" s="20">
        <f>COUNTIF('Screen Requirements'!$D$5:$D$134,B14)</f>
        <v/>
      </c>
      <c r="I14" s="4" t="inlineStr">
        <is>
          <t>9. Activities, Spa, Events &amp; Transport</t>
        </is>
      </c>
    </row>
    <row r="15" ht="42" customHeight="1" s="43">
      <c r="A15" s="4" t="inlineStr">
        <is>
          <t>MOD-12</t>
        </is>
      </c>
      <c r="B15" s="4" t="inlineStr">
        <is>
          <t>Transport</t>
        </is>
      </c>
      <c r="C15" s="4" t="inlineStr">
        <is>
          <t>Deliver complete transport capabilities with role-based workflows, validation, auditability and cross-module synchronization.</t>
        </is>
      </c>
      <c r="D15" s="4" t="inlineStr">
        <is>
          <t>Transfer Operations, Bookings, Fleet, Drivers, Trip Execution</t>
        </is>
      </c>
      <c r="E15" s="4" t="inlineStr">
        <is>
          <t>Transport Manager / Dispatcher / Driver</t>
        </is>
      </c>
      <c r="F15" s="4" t="inlineStr">
        <is>
          <t>vehicles, drivers, transport_bookings, trips</t>
        </is>
      </c>
      <c r="G15" s="4" t="inlineStr">
        <is>
          <t>Guests, Workforce, Finance</t>
        </is>
      </c>
      <c r="H15" s="20">
        <f>COUNTIF('Screen Requirements'!$D$5:$D$134,B15)</f>
        <v/>
      </c>
      <c r="I15" s="4" t="inlineStr">
        <is>
          <t>9. Activities, Spa, Events &amp; Transport</t>
        </is>
      </c>
    </row>
    <row r="16" ht="42" customHeight="1" s="43">
      <c r="A16" s="4" t="inlineStr">
        <is>
          <t>MOD-13</t>
        </is>
      </c>
      <c r="B16" s="4" t="inlineStr">
        <is>
          <t>Maintenance</t>
        </is>
      </c>
      <c r="C16" s="4" t="inlineStr">
        <is>
          <t>Deliver complete maintenance capabilities with role-based workflows, validation, auditability and cross-module synchronization.</t>
        </is>
      </c>
      <c r="D16" s="4" t="inlineStr">
        <is>
          <t>Work Orders, Assets, Preventive Maintenance, Work Order Control</t>
        </is>
      </c>
      <c r="E16" s="4" t="inlineStr">
        <is>
          <t>Engineering Manager / Technician</t>
        </is>
      </c>
      <c r="F16" s="4" t="inlineStr">
        <is>
          <t>assets, maintenance_work_orders, preventive_plans</t>
        </is>
      </c>
      <c r="G16" s="4" t="inlineStr">
        <is>
          <t>Rooms, Inventory, Workforce</t>
        </is>
      </c>
      <c r="H16" s="20">
        <f>COUNTIF('Screen Requirements'!$D$5:$D$134,B16)</f>
        <v/>
      </c>
      <c r="I16" s="4" t="inlineStr">
        <is>
          <t>8. Maintenance &amp; Asset Operations</t>
        </is>
      </c>
    </row>
    <row r="17" ht="42" customHeight="1" s="43">
      <c r="A17" s="4" t="inlineStr">
        <is>
          <t>MOD-14</t>
        </is>
      </c>
      <c r="B17" s="4" t="inlineStr">
        <is>
          <t>Inventory</t>
        </is>
      </c>
      <c r="C17" s="4" t="inlineStr">
        <is>
          <t>Deliver complete inventory capabilities with role-based workflows, validation, auditability and cross-module synchronization.</t>
        </is>
      </c>
      <c r="D17" s="4" t="inlineStr">
        <is>
          <t>Stock Operations, Item Master, Configuration, Stock Control</t>
        </is>
      </c>
      <c r="E17" s="4" t="inlineStr">
        <is>
          <t>Store Manager / Storekeeper / Department Heads</t>
        </is>
      </c>
      <c r="F17" s="4" t="inlineStr">
        <is>
          <t>inventory_items, warehouses, stock_ledger, stock_adjustments</t>
        </is>
      </c>
      <c r="G17" s="4" t="inlineStr">
        <is>
          <t>Purchasing, POS, Maintenance</t>
        </is>
      </c>
      <c r="H17" s="20">
        <f>COUNTIF('Screen Requirements'!$D$5:$D$134,B17)</f>
        <v/>
      </c>
      <c r="I17" s="4" t="inlineStr">
        <is>
          <t>7. Inventory &amp; Procurement</t>
        </is>
      </c>
    </row>
    <row r="18" ht="42" customHeight="1" s="43">
      <c r="A18" s="4" t="inlineStr">
        <is>
          <t>MOD-15</t>
        </is>
      </c>
      <c r="B18" s="4" t="inlineStr">
        <is>
          <t>Workforce</t>
        </is>
      </c>
      <c r="C18" s="4" t="inlineStr">
        <is>
          <t>Deliver complete workforce capabilities with role-based workflows, validation, auditability and cross-module synchronization.</t>
        </is>
      </c>
      <c r="D18" s="4" t="inlineStr">
        <is>
          <t>Roster, Employee Master, Time &amp; Leave, Shift Setup, Roster Changes</t>
        </is>
      </c>
      <c r="E18" s="4" t="inlineStr">
        <is>
          <t>HR Manager / Department Manager / Employee</t>
        </is>
      </c>
      <c r="F18" s="4" t="inlineStr">
        <is>
          <t>employees, shifts, rosters, attendance, leave_requests</t>
        </is>
      </c>
      <c r="G18" s="4" t="inlineStr">
        <is>
          <t>Administration</t>
        </is>
      </c>
      <c r="H18" s="20">
        <f>COUNTIF('Screen Requirements'!$D$5:$D$134,B18)</f>
        <v/>
      </c>
      <c r="I18" s="4" t="inlineStr">
        <is>
          <t>10. Workforce, Finance &amp; Analytics</t>
        </is>
      </c>
    </row>
    <row r="19" ht="42" customHeight="1" s="43">
      <c r="A19" s="4" t="inlineStr">
        <is>
          <t>MOD-16</t>
        </is>
      </c>
      <c r="B19" s="4" t="inlineStr">
        <is>
          <t>Finance</t>
        </is>
      </c>
      <c r="C19" s="4" t="inlineStr">
        <is>
          <t>Deliver complete finance capabilities with role-based workflows, validation, auditability and cross-module synchronization.</t>
        </is>
      </c>
      <c r="D19" s="4" t="inlineStr">
        <is>
          <t>Audit &amp; Close, Cashiering, Refunds, Accounts Receivable, Deposits, Folio Control, Payment Control, Invoicing, Cash Drawer, Tax Configuration</t>
        </is>
      </c>
      <c r="E19" s="4" t="inlineStr">
        <is>
          <t>Finance Manager / Night Auditor / Cashier</t>
        </is>
      </c>
      <c r="F19" s="4" t="inlineStr">
        <is>
          <t>folios, payments, refunds, invoices, credit_notes, cash_drawers, taxes, receivables</t>
        </is>
      </c>
      <c r="G19" s="4" t="inlineStr">
        <is>
          <t>All revenue modules</t>
        </is>
      </c>
      <c r="H19" s="20">
        <f>COUNTIF('Screen Requirements'!$D$5:$D$134,B19)</f>
        <v/>
      </c>
      <c r="I19" s="4" t="inlineStr">
        <is>
          <t>10. Workforce, Finance &amp; Analytics | 2. Inventory, Rates &amp; Distribution Foundation | 3. Reservations, Groups &amp; Front Desk</t>
        </is>
      </c>
    </row>
    <row r="20" ht="42" customHeight="1" s="43">
      <c r="A20" s="4" t="inlineStr">
        <is>
          <t>MOD-17</t>
        </is>
      </c>
      <c r="B20" s="4" t="inlineStr">
        <is>
          <t>Purchasing</t>
        </is>
      </c>
      <c r="C20" s="4" t="inlineStr">
        <is>
          <t>Deliver complete purchasing capabilities with role-based workflows, validation, auditability and cross-module synchronization.</t>
        </is>
      </c>
      <c r="D20" s="4" t="inlineStr">
        <is>
          <t>Procurement Control, Suppliers, Requisitions, Purchase Orders, Receiving, Returns</t>
        </is>
      </c>
      <c r="E20" s="4" t="inlineStr">
        <is>
          <t>Purchase Manager / Approver / Storekeeper</t>
        </is>
      </c>
      <c r="F20" s="4" t="inlineStr">
        <is>
          <t>suppliers, requisitions, purchase_orders, goods_receipts, supplier_returns</t>
        </is>
      </c>
      <c r="G20" s="4" t="inlineStr">
        <is>
          <t>Inventory, Finance, Approvals</t>
        </is>
      </c>
      <c r="H20" s="20">
        <f>COUNTIF('Screen Requirements'!$D$5:$D$134,B20)</f>
        <v/>
      </c>
      <c r="I20" s="4" t="inlineStr">
        <is>
          <t>7. Inventory &amp; Procurement</t>
        </is>
      </c>
    </row>
    <row r="21" ht="42" customHeight="1" s="43">
      <c r="A21" s="4" t="inlineStr">
        <is>
          <t>MOD-18</t>
        </is>
      </c>
      <c r="B21" s="4" t="inlineStr">
        <is>
          <t>Distribution</t>
        </is>
      </c>
      <c r="C21" s="4" t="inlineStr">
        <is>
          <t>Deliver complete distribution capabilities with role-based workflows, validation, auditability and cross-module synchronization.</t>
        </is>
      </c>
      <c r="D21" s="4" t="inlineStr">
        <is>
          <t>Channel Manager, Channel Integration</t>
        </is>
      </c>
      <c r="E21" s="4" t="inlineStr">
        <is>
          <t>Revenue Manager / Channel Manager</t>
        </is>
      </c>
      <c r="F21" s="4" t="inlineStr">
        <is>
          <t>channels, channel_mappings, sync_jobs, restrictions</t>
        </is>
      </c>
      <c r="G21" s="4" t="inlineStr">
        <is>
          <t>Rates, Rooms, Reservations</t>
        </is>
      </c>
      <c r="H21" s="20">
        <f>COUNTIF('Screen Requirements'!$D$5:$D$134,B21)</f>
        <v/>
      </c>
      <c r="I21" s="4" t="inlineStr">
        <is>
          <t>2. Inventory, Rates &amp; Distribution Foundation</t>
        </is>
      </c>
    </row>
    <row r="22" ht="42" customHeight="1" s="43">
      <c r="A22" s="4" t="inlineStr">
        <is>
          <t>MOD-19</t>
        </is>
      </c>
      <c r="B22" s="4" t="inlineStr">
        <is>
          <t>Administration</t>
        </is>
      </c>
      <c r="C22" s="4" t="inlineStr">
        <is>
          <t>Deliver complete administration capabilities with role-based workflows, validation, auditability and cross-module synchronization.</t>
        </is>
      </c>
      <c r="D22" s="4" t="inlineStr">
        <is>
          <t>Property Configuration, Identity &amp; Access, Authorization, Approvals, Audit &amp; Compliance, Property Master, Notification Setup, Data Operations</t>
        </is>
      </c>
      <c r="E22" s="4" t="inlineStr">
        <is>
          <t>System Admin / Property Admin / Auditor</t>
        </is>
      </c>
      <c r="F22" s="4" t="inlineStr">
        <is>
          <t>users, roles, permissions, approvals, audit_logs, templates, import_jobs</t>
        </is>
      </c>
      <c r="G22" s="4" t="inlineStr">
        <is>
          <t>Platform</t>
        </is>
      </c>
      <c r="H22" s="20">
        <f>COUNTIF('Screen Requirements'!$D$5:$D$134,B22)</f>
        <v/>
      </c>
      <c r="I22" s="4" t="inlineStr">
        <is>
          <t>1. Core Platform, Security &amp; Masters</t>
        </is>
      </c>
    </row>
    <row r="23" ht="42" customHeight="1" s="43">
      <c r="A23" s="4" t="inlineStr">
        <is>
          <t>MOD-20</t>
        </is>
      </c>
      <c r="B23" s="4" t="inlineStr">
        <is>
          <t>Analytics</t>
        </is>
      </c>
      <c r="C23" s="4" t="inlineStr">
        <is>
          <t>Deliver complete analytics capabilities with role-based workflows, validation, auditability and cross-module synchronization.</t>
        </is>
      </c>
      <c r="D23" s="4" t="inlineStr">
        <is>
          <t>Management Reports</t>
        </is>
      </c>
      <c r="E23" s="4" t="inlineStr">
        <is>
          <t>Owner / GM / Finance / Department Heads</t>
        </is>
      </c>
      <c r="F23" s="4" t="inlineStr">
        <is>
          <t>report_definitions, report_runs, metric_snapshots</t>
        </is>
      </c>
      <c r="G23" s="4" t="inlineStr">
        <is>
          <t>All operational modules</t>
        </is>
      </c>
      <c r="H23" s="20">
        <f>COUNTIF('Screen Requirements'!$D$5:$D$134,B23)</f>
        <v/>
      </c>
      <c r="I23" s="4" t="inlineStr">
        <is>
          <t>10. Workforce, Finance &amp; Analytics</t>
        </is>
      </c>
    </row>
    <row r="24" ht="42" customHeight="1" s="43">
      <c r="A24" s="4" t="inlineStr">
        <is>
          <t>MOD-21</t>
        </is>
      </c>
      <c r="B24" s="4" t="inlineStr">
        <is>
          <t>Groups</t>
        </is>
      </c>
      <c r="C24" s="4" t="inlineStr">
        <is>
          <t>Deliver complete groups capabilities with role-based workflows, validation, auditability and cross-module synchronization.</t>
        </is>
      </c>
      <c r="D24" s="4" t="inlineStr">
        <is>
          <t>Group Booking, Rooming &amp; Arrival</t>
        </is>
      </c>
      <c r="E24" s="4" t="inlineStr">
        <is>
          <t>Sales / Reservation Manager / Front Desk</t>
        </is>
      </c>
      <c r="F24" s="4" t="inlineStr">
        <is>
          <t>group_bookings, rooming_lists, group_blocks</t>
        </is>
      </c>
      <c r="G24" s="4" t="inlineStr">
        <is>
          <t>Reservations, Rooms, Finance</t>
        </is>
      </c>
      <c r="H24" s="20">
        <f>COUNTIF('Screen Requirements'!$D$5:$D$134,B24)</f>
        <v/>
      </c>
      <c r="I24" s="4" t="inlineStr">
        <is>
          <t>3. Reservations, Groups &amp; Front Desk</t>
        </is>
      </c>
    </row>
    <row r="25" ht="42" customHeight="1" s="43">
      <c r="A25" s="4" t="inlineStr">
        <is>
          <t>MOD-22</t>
        </is>
      </c>
      <c r="B25" s="4" t="inlineStr">
        <is>
          <t>Revenue Management</t>
        </is>
      </c>
      <c r="C25" s="4" t="inlineStr">
        <is>
          <t>Deliver complete revenue management capabilities with role-based workflows, validation, auditability and cross-module synchronization.</t>
        </is>
      </c>
      <c r="D25" s="4" t="inlineStr">
        <is>
          <t>Rate Plans, Rates &amp; Restrictions, Offers, Rate Rules, Restriction Control</t>
        </is>
      </c>
      <c r="E25" s="4" t="inlineStr">
        <is>
          <t>Revenue Manager / General Manager</t>
        </is>
      </c>
      <c r="F25" s="4" t="inlineStr">
        <is>
          <t>rate_plans, rate_rules, packages, restrictions, inventory_controls</t>
        </is>
      </c>
      <c r="G25" s="4" t="inlineStr">
        <is>
          <t>Rooms, Distribution, Reservations</t>
        </is>
      </c>
      <c r="H25" s="20">
        <f>COUNTIF('Screen Requirements'!$D$5:$D$134,B25)</f>
        <v/>
      </c>
      <c r="I25" s="4" t="inlineStr">
        <is>
          <t>2. Inventory, Rates &amp; Distribution Foundation</t>
        </is>
      </c>
    </row>
    <row r="26" ht="42" customHeight="1" s="43">
      <c r="A26" s="4" t="inlineStr">
        <is>
          <t>MOD-23</t>
        </is>
      </c>
      <c r="B26" s="4" t="inlineStr">
        <is>
          <t>AI &amp; Automation</t>
        </is>
      </c>
      <c r="C26" s="4" t="inlineStr">
        <is>
          <t>Deliver complete ai &amp; automation capabilities with role-based workflows, validation, auditability and cross-module synchronization.</t>
        </is>
      </c>
      <c r="D26" s="4" t="inlineStr">
        <is>
          <t>AI Operations, Voice Agent, Knowledge &amp; Policies, Agent Design, Agent Testing, Knowledge Management</t>
        </is>
      </c>
      <c r="E26" s="4" t="inlineStr">
        <is>
          <t>AI Admin / System Admin / Supervisor</t>
        </is>
      </c>
      <c r="F26" s="4" t="inlineStr">
        <is>
          <t>ai_agents, prompts, knowledge_documents, tool_policies, call_transcripts</t>
        </is>
      </c>
      <c r="G26" s="4" t="inlineStr">
        <is>
          <t>Integrations, Communications, PMS APIs</t>
        </is>
      </c>
      <c r="H26" s="20">
        <f>COUNTIF('Screen Requirements'!$D$5:$D$134,B26)</f>
        <v/>
      </c>
      <c r="I26" s="4" t="inlineStr">
        <is>
          <t>11. Portals, Integrations &amp; AI</t>
        </is>
      </c>
    </row>
    <row r="27" ht="42" customHeight="1" s="43">
      <c r="A27" s="4" t="inlineStr">
        <is>
          <t>MOD-24</t>
        </is>
      </c>
      <c r="B27" s="4" t="inlineStr">
        <is>
          <t>Communications</t>
        </is>
      </c>
      <c r="C27" s="4" t="inlineStr">
        <is>
          <t>Deliver complete communications capabilities with role-based workflows, validation, auditability and cross-module synchronization.</t>
        </is>
      </c>
      <c r="D27" s="4" t="inlineStr">
        <is>
          <t>Omnichannel Inbox</t>
        </is>
      </c>
      <c r="E27" s="4" t="inlineStr">
        <is>
          <t>Guest Relations / Reservations / AI Agent</t>
        </is>
      </c>
      <c r="F27" s="4" t="inlineStr">
        <is>
          <t>conversations, messages, templates, delivery_logs</t>
        </is>
      </c>
      <c r="G27" s="4" t="inlineStr">
        <is>
          <t>Guests, Reservations, Integrations</t>
        </is>
      </c>
      <c r="H27" s="20">
        <f>COUNTIF('Screen Requirements'!$D$5:$D$134,B27)</f>
        <v/>
      </c>
      <c r="I27" s="4" t="inlineStr">
        <is>
          <t>4. Guest CRM, Privacy &amp; Communications</t>
        </is>
      </c>
    </row>
    <row r="28" ht="42" customHeight="1" s="43">
      <c r="A28" s="4" t="inlineStr">
        <is>
          <t>MOD-25</t>
        </is>
      </c>
      <c r="B28" s="4" t="inlineStr">
        <is>
          <t>Guest Portal</t>
        </is>
      </c>
      <c r="C28" s="4" t="inlineStr">
        <is>
          <t>Deliver complete guest portal capabilities with role-based workflows, validation, auditability and cross-module synchronization.</t>
        </is>
      </c>
      <c r="D28" s="4" t="inlineStr">
        <is>
          <t>Mobile Self-Service, Digital Arrival</t>
        </is>
      </c>
      <c r="E28" s="4" t="inlineStr">
        <is>
          <t>Guest / Front Desk Support</t>
        </is>
      </c>
      <c r="F28" s="4" t="inlineStr">
        <is>
          <t>portal_sessions, self_checkin_submissions, guest_requests</t>
        </is>
      </c>
      <c r="G28" s="4" t="inlineStr">
        <is>
          <t>Guests, Reservations, Payments</t>
        </is>
      </c>
      <c r="H28" s="20">
        <f>COUNTIF('Screen Requirements'!$D$5:$D$134,B28)</f>
        <v/>
      </c>
      <c r="I28" s="4" t="inlineStr">
        <is>
          <t>11. Portals, Integrations &amp; AI</t>
        </is>
      </c>
    </row>
    <row r="29" ht="42" customHeight="1" s="43">
      <c r="A29" s="4" t="inlineStr">
        <is>
          <t>MOD-26</t>
        </is>
      </c>
      <c r="B29" s="4" t="inlineStr">
        <is>
          <t>Partner Portal</t>
        </is>
      </c>
      <c r="C29" s="4" t="inlineStr">
        <is>
          <t>Deliver complete partner portal capabilities with role-based workflows, validation, auditability and cross-module synchronization.</t>
        </is>
      </c>
      <c r="D29" s="4" t="inlineStr">
        <is>
          <t>B2B Booking, Portal Operations</t>
        </is>
      </c>
      <c r="E29" s="4" t="inlineStr">
        <is>
          <t>Travel Agent / Corporate Booker / Sales</t>
        </is>
      </c>
      <c r="F29" s="4" t="inlineStr">
        <is>
          <t>partner_accounts, portal_bookings, commissions</t>
        </is>
      </c>
      <c r="G29" s="4" t="inlineStr">
        <is>
          <t>Reservations, Rates, Finance</t>
        </is>
      </c>
      <c r="H29" s="20">
        <f>COUNTIF('Screen Requirements'!$D$5:$D$134,B29)</f>
        <v/>
      </c>
      <c r="I29" s="4" t="inlineStr">
        <is>
          <t>11. Portals, Integrations &amp; AI</t>
        </is>
      </c>
    </row>
    <row r="30" ht="42" customHeight="1" s="43">
      <c r="A30" s="4" t="inlineStr">
        <is>
          <t>MOD-27</t>
        </is>
      </c>
      <c r="B30" s="4" t="inlineStr">
        <is>
          <t>Sales &amp; Marketing</t>
        </is>
      </c>
      <c r="C30" s="4" t="inlineStr">
        <is>
          <t>Deliver complete sales &amp; marketing capabilities with role-based workflows, validation, auditability and cross-module synchronization.</t>
        </is>
      </c>
      <c r="D30" s="4" t="inlineStr">
        <is>
          <t>Campaigns</t>
        </is>
      </c>
      <c r="E30" s="4" t="inlineStr">
        <is>
          <t>CRM Manager / Sales / Marketing</t>
        </is>
      </c>
      <c r="F30" s="4" t="inlineStr">
        <is>
          <t>campaigns, segments, journeys, campaign_events</t>
        </is>
      </c>
      <c r="G30" s="4" t="inlineStr">
        <is>
          <t>Guests, Communications</t>
        </is>
      </c>
      <c r="H30" s="20">
        <f>COUNTIF('Screen Requirements'!$D$5:$D$134,B30)</f>
        <v/>
      </c>
      <c r="I30" s="4" t="inlineStr">
        <is>
          <t>4. Guest CRM, Privacy &amp; Communications</t>
        </is>
      </c>
    </row>
    <row r="31" ht="42" customHeight="1" s="43">
      <c r="A31" s="4" t="inlineStr">
        <is>
          <t>MOD-28</t>
        </is>
      </c>
      <c r="B31" s="4" t="inlineStr">
        <is>
          <t>Integrations</t>
        </is>
      </c>
      <c r="C31" s="4" t="inlineStr">
        <is>
          <t>Deliver complete integrations capabilities with role-based workflows, validation, auditability and cross-module synchronization.</t>
        </is>
      </c>
      <c r="D31" s="4" t="inlineStr">
        <is>
          <t>Integration Management</t>
        </is>
      </c>
      <c r="E31" s="4" t="inlineStr">
        <is>
          <t>Integration Admin / System Admin</t>
        </is>
      </c>
      <c r="F31" s="4" t="inlineStr">
        <is>
          <t>integrations, credentials, webhooks, sync_jobs</t>
        </is>
      </c>
      <c r="G31" s="4" t="inlineStr">
        <is>
          <t>All connected services</t>
        </is>
      </c>
      <c r="H31" s="20">
        <f>COUNTIF('Screen Requirements'!$D$5:$D$134,B31)</f>
        <v/>
      </c>
      <c r="I31" s="4" t="inlineStr">
        <is>
          <t>11. Portals, Integrations &amp; AI</t>
        </is>
      </c>
    </row>
  </sheetData>
  <mergeCells count="1">
    <mergeCell ref="A1:I1"/>
  </mergeCell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Z134"/>
  <sheetViews>
    <sheetView showGridLines="0" workbookViewId="0">
      <selection activeCell="A1" sqref="A1"/>
    </sheetView>
  </sheetViews>
  <sheetFormatPr baseColWidth="8" defaultRowHeight="14"/>
  <cols>
    <col width="10" customWidth="1" style="43" min="1" max="1"/>
    <col width="11" customWidth="1" style="43" min="2" max="2"/>
    <col width="13" customWidth="1" style="43" min="3" max="3"/>
    <col width="20" customWidth="1" style="43" min="4" max="4"/>
    <col width="22" customWidth="1" style="43" min="5" max="5"/>
    <col width="31" customWidth="1" style="43" min="6" max="6"/>
    <col width="34" customWidth="1" style="43" min="7" max="7"/>
    <col width="54" customWidth="1" style="43" min="8" max="8"/>
    <col width="38" customWidth="1" style="43" min="9" max="9"/>
    <col width="35" customWidth="1" style="43" min="10" max="10"/>
    <col width="13" customWidth="1" style="43" min="11" max="11"/>
    <col width="36" customWidth="1" style="43" min="12" max="12"/>
    <col width="12" customWidth="1" style="43" min="13" max="13"/>
    <col width="15" customWidth="1" style="43" min="14" max="14"/>
    <col width="11" customWidth="1" style="43" min="15" max="15"/>
    <col width="30" customWidth="1" style="43" min="16" max="16"/>
    <col width="40" customWidth="1" style="43" min="17" max="17"/>
    <col width="44" customWidth="1" style="43" min="18" max="18"/>
    <col width="40" customWidth="1" style="43" min="19" max="19"/>
    <col width="48" customWidth="1" style="43" min="20" max="20"/>
    <col width="52" customWidth="1" style="43" min="21" max="21"/>
    <col width="45" customWidth="1" style="43" min="22" max="22"/>
    <col width="18" customWidth="1" style="43" min="23" max="23"/>
    <col width="13" customWidth="1" style="43" min="24" max="25"/>
    <col width="28" customWidth="1" style="43" min="26" max="26"/>
  </cols>
  <sheetData>
    <row r="1" ht="30" customHeight="1" s="43">
      <c r="A1" s="50" t="inlineStr">
        <is>
          <t>Chirala Bay Resort PMS — Screen Requirements &amp; Development Tracker</t>
        </is>
      </c>
    </row>
    <row r="2">
      <c r="A2" s="42" t="inlineStr">
        <is>
          <t>Editable tracking columns: Development Status, Owner, Planned Start, Planned End and Remarks. Progress updates automatically.</t>
        </is>
      </c>
    </row>
    <row r="4" ht="28" customHeight="1" s="43">
      <c r="A4" s="8" t="inlineStr">
        <is>
          <t>Build Order</t>
        </is>
      </c>
      <c r="B4" s="9" t="inlineStr">
        <is>
          <t>Screen ID</t>
        </is>
      </c>
      <c r="C4" s="9" t="inlineStr">
        <is>
          <t>Design Status</t>
        </is>
      </c>
      <c r="D4" s="9" t="inlineStr">
        <is>
          <t>Module</t>
        </is>
      </c>
      <c r="E4" s="9" t="inlineStr">
        <is>
          <t>Submodule</t>
        </is>
      </c>
      <c r="F4" s="9" t="inlineStr">
        <is>
          <t>Screen Name</t>
        </is>
      </c>
      <c r="G4" s="9" t="inlineStr">
        <is>
          <t>Business Purpose</t>
        </is>
      </c>
      <c r="H4" s="9" t="inlineStr">
        <is>
          <t>Functional Requirements</t>
        </is>
      </c>
      <c r="I4" s="9" t="inlineStr">
        <is>
          <t>Operations / Actions</t>
        </is>
      </c>
      <c r="J4" s="9" t="inlineStr">
        <is>
          <t>Primary Roles</t>
        </is>
      </c>
      <c r="K4" s="9" t="inlineStr">
        <is>
          <t>Priority</t>
        </is>
      </c>
      <c r="L4" s="9" t="inlineStr">
        <is>
          <t>Development Phase</t>
        </is>
      </c>
      <c r="M4" s="9" t="inlineStr">
        <is>
          <t>Sprint</t>
        </is>
      </c>
      <c r="N4" s="9" t="inlineStr">
        <is>
          <t>Development Status</t>
        </is>
      </c>
      <c r="O4" s="9" t="inlineStr">
        <is>
          <t>Progress %</t>
        </is>
      </c>
      <c r="P4" s="9" t="inlineStr">
        <is>
          <t>Dependencies</t>
        </is>
      </c>
      <c r="Q4" s="9" t="inlineStr">
        <is>
          <t>Frontend Deliverables</t>
        </is>
      </c>
      <c r="R4" s="9" t="inlineStr">
        <is>
          <t>Backend / API</t>
        </is>
      </c>
      <c r="S4" s="9" t="inlineStr">
        <is>
          <t>Data Entities</t>
        </is>
      </c>
      <c r="T4" s="9" t="inlineStr">
        <is>
          <t>Validation &amp; Business Rules</t>
        </is>
      </c>
      <c r="U4" s="9" t="inlineStr">
        <is>
          <t>Acceptance Criteria</t>
        </is>
      </c>
      <c r="V4" s="9" t="inlineStr">
        <is>
          <t>Security &amp; Audit</t>
        </is>
      </c>
      <c r="W4" s="9" t="inlineStr">
        <is>
          <t>Owner</t>
        </is>
      </c>
      <c r="X4" s="9" t="inlineStr">
        <is>
          <t>Planned Start</t>
        </is>
      </c>
      <c r="Y4" s="9" t="inlineStr">
        <is>
          <t>Planned End</t>
        </is>
      </c>
      <c r="Z4" s="9" t="inlineStr">
        <is>
          <t>Remarks</t>
        </is>
      </c>
    </row>
    <row r="5" ht="70" customHeight="1" s="43">
      <c r="A5" s="10" t="n">
        <v>130</v>
      </c>
      <c r="B5" s="11" t="inlineStr">
        <is>
          <t>SCR-001</t>
        </is>
      </c>
      <c r="C5" s="12" t="inlineStr">
        <is>
          <t>Completed</t>
        </is>
      </c>
      <c r="D5" s="12" t="inlineStr">
        <is>
          <t>Overview</t>
        </is>
      </c>
      <c r="E5" s="12" t="inlineStr">
        <is>
          <t>Operations Control</t>
        </is>
      </c>
      <c r="F5" s="12" t="inlineStr">
        <is>
          <t>Operations Dashboard</t>
        </is>
      </c>
      <c r="G5" s="12" t="inlineStr">
        <is>
          <t>Enable overview users to manage operations control through the Operations Dashboard workflow with real-time status, validations and traceability.</t>
        </is>
      </c>
      <c r="H5" s="12" t="inlineStr">
        <is>
          <t>Provide role-aware view, filter, search, drill down, export, refresh; support search and filters; validate mandatory fields and business conflicts; persist changes atomically; refresh related availability, balances or task status; record user, timestamp and reason for sensitive changes.</t>
        </is>
      </c>
      <c r="I5" s="12" t="inlineStr">
        <is>
          <t>View, filter, search, drill down, export, refresh</t>
        </is>
      </c>
      <c r="J5" s="12" t="inlineStr">
        <is>
          <t>Owner / GM / Department Heads</t>
        </is>
      </c>
      <c r="K5" s="12" t="inlineStr">
        <is>
          <t>Must Have</t>
        </is>
      </c>
      <c r="L5" s="12" t="inlineStr">
        <is>
          <t>12. Executive Dashboard, UAT &amp; Release</t>
        </is>
      </c>
      <c r="M5" s="12" t="inlineStr">
        <is>
          <t>S26-S27</t>
        </is>
      </c>
      <c r="N5" s="12" t="inlineStr">
        <is>
          <t>Not Started</t>
        </is>
      </c>
      <c r="O5" s="13">
        <f>IF(N5="Done",1,IF(N5="QA",0.9,IF(N5="Integration",0.75,IF(N5="Frontend",0.55,IF(N5="Backend",0.35,IF(N5="UX/UI",0.1,0))))))</f>
        <v/>
      </c>
      <c r="P5" s="12" t="inlineStr">
        <is>
          <t>All operational modules</t>
        </is>
      </c>
      <c r="Q5" s="12" t="inlineStr">
        <is>
          <t>Responsive desktop/tablet UI; loading, empty, error and permission states; filters; form validation; accessible interactions</t>
        </is>
      </c>
      <c r="R5" s="12" t="inlineStr">
        <is>
          <t>GET, POST/PATCH /api/v1/operations-dashboard; lookup, validation and audit endpoints; idempotency for financial/booking writes</t>
        </is>
      </c>
      <c r="S5" s="12" t="inlineStr">
        <is>
          <t>dashboard_snapshots, operational_metrics</t>
        </is>
      </c>
      <c r="T5" s="12" t="inlineStr">
        <is>
          <t>Tenant/property scope; required fields; optimistic locking; timezone-safe dates; reason mandatory for overrides; valid status transition; linked-record integrity</t>
        </is>
      </c>
      <c r="U5" s="12" t="inlineStr">
        <is>
          <t>Authorized users can complete the primary operations dashboard workflow; invalid or conflicting actions are blocked with clear messages; saved changes appear in related screens; sensitive changes are auditable.</t>
        </is>
      </c>
      <c r="V5" s="12" t="inlineStr">
        <is>
          <t>RBAC, tenant and property isolation, server-side authorization, audit event for create/update/delete/override</t>
        </is>
      </c>
      <c r="W5" s="12" t="n"/>
      <c r="X5" s="14" t="n"/>
      <c r="Y5" s="14" t="n"/>
      <c r="Z5" s="12" t="n"/>
    </row>
    <row r="6" ht="70" customHeight="1" s="43">
      <c r="A6" s="10" t="n">
        <v>27</v>
      </c>
      <c r="B6" s="11" t="inlineStr">
        <is>
          <t>SCR-002</t>
        </is>
      </c>
      <c r="C6" s="12" t="inlineStr">
        <is>
          <t>Completed</t>
        </is>
      </c>
      <c r="D6" s="12" t="inlineStr">
        <is>
          <t>Front Desk</t>
        </is>
      </c>
      <c r="E6" s="12" t="inlineStr">
        <is>
          <t>Room Operations</t>
        </is>
      </c>
      <c r="F6" s="12" t="inlineStr">
        <is>
          <t>Room Rack</t>
        </is>
      </c>
      <c r="G6" s="12" t="inlineStr">
        <is>
          <t>Enable front desk users to manage room operations through the Room Rack workflow with real-time status, validations and traceability.</t>
        </is>
      </c>
      <c r="H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6" s="12" t="inlineStr">
        <is>
          <t>List, search, filter, view, create, edit, cancel/delete where allowed, export, audit</t>
        </is>
      </c>
      <c r="J6" s="12" t="inlineStr">
        <is>
          <t>Front Office Manager / Receptionist / Cashier</t>
        </is>
      </c>
      <c r="K6" s="12" t="inlineStr">
        <is>
          <t>Must Have</t>
        </is>
      </c>
      <c r="L6" s="12" t="inlineStr">
        <is>
          <t>3. Reservations, Groups &amp; Front Desk</t>
        </is>
      </c>
      <c r="M6" s="12" t="inlineStr">
        <is>
          <t>S05-S07</t>
        </is>
      </c>
      <c r="N6" s="12" t="inlineStr">
        <is>
          <t>Not Started</t>
        </is>
      </c>
      <c r="O6" s="13">
        <f>IF(N6="Done",1,IF(N6="QA",0.9,IF(N6="Integration",0.75,IF(N6="Frontend",0.55,IF(N6="Backend",0.35,IF(N6="UX/UI",0.1,0))))))</f>
        <v/>
      </c>
      <c r="P6" s="12" t="inlineStr">
        <is>
          <t>Reservations, Rooms, Finance</t>
        </is>
      </c>
      <c r="Q6" s="12" t="inlineStr">
        <is>
          <t>Responsive desktop/tablet UI; loading, empty, error and permission states; filters; form validation; accessible interactions</t>
        </is>
      </c>
      <c r="R6" s="12" t="inlineStr">
        <is>
          <t>GET, POST, PUT/PATCH, DELETE /api/v1/room-rack; lookup, validation and audit endpoints; idempotency for financial/booking writes</t>
        </is>
      </c>
      <c r="S6" s="12" t="inlineStr">
        <is>
          <t>stays, room_assignments, folios, keys</t>
        </is>
      </c>
      <c r="T6" s="12" t="inlineStr">
        <is>
          <t>Tenant/property scope; required fields; optimistic locking; timezone-safe dates; reason mandatory for overrides; availability and overlap check; status-transition rules; cancellation policy</t>
        </is>
      </c>
      <c r="U6" s="12" t="inlineStr">
        <is>
          <t>Authorized users can complete the primary room rack workflow; invalid or conflicting actions are blocked with clear messages; saved changes appear in related screens; sensitive changes are auditable.</t>
        </is>
      </c>
      <c r="V6" s="12" t="inlineStr">
        <is>
          <t>RBAC, tenant and property isolation, server-side authorization, audit event for create/update/delete/override</t>
        </is>
      </c>
      <c r="W6" s="12" t="n"/>
      <c r="X6" s="14" t="n"/>
      <c r="Y6" s="14" t="n"/>
      <c r="Z6" s="12" t="n"/>
    </row>
    <row r="7" ht="70" customHeight="1" s="43">
      <c r="A7" s="10" t="n">
        <v>28</v>
      </c>
      <c r="B7" s="11" t="inlineStr">
        <is>
          <t>SCR-003</t>
        </is>
      </c>
      <c r="C7" s="12" t="inlineStr">
        <is>
          <t>Completed</t>
        </is>
      </c>
      <c r="D7" s="12" t="inlineStr">
        <is>
          <t>Reservations</t>
        </is>
      </c>
      <c r="E7" s="12" t="inlineStr">
        <is>
          <t>Availability &amp; Calendar</t>
        </is>
      </c>
      <c r="F7" s="12" t="inlineStr">
        <is>
          <t>Reservation Calendar</t>
        </is>
      </c>
      <c r="G7" s="12" t="inlineStr">
        <is>
          <t>Enable reservations users to manage availability &amp; calendar through the Reservation Calendar workflow with real-time status, validations and traceability.</t>
        </is>
      </c>
      <c r="H7" s="12" t="inlineStr">
        <is>
          <t>Provide role-aware view timeline, filter, create, assign, reschedule, conflict-check, cancel; support search and filters; validate mandatory fields and business conflicts; persist changes atomically; refresh related availability, balances or task status; record user, timestamp and reason for sensitive changes.</t>
        </is>
      </c>
      <c r="I7" s="12" t="inlineStr">
        <is>
          <t>View timeline, filter, create, assign, reschedule, conflict-check, cancel</t>
        </is>
      </c>
      <c r="J7" s="12" t="inlineStr">
        <is>
          <t>Reservation Manager / Agent / Front Desk</t>
        </is>
      </c>
      <c r="K7" s="12" t="inlineStr">
        <is>
          <t>Must Have</t>
        </is>
      </c>
      <c r="L7" s="12" t="inlineStr">
        <is>
          <t>3. Reservations, Groups &amp; Front Desk</t>
        </is>
      </c>
      <c r="M7" s="12" t="inlineStr">
        <is>
          <t>S05-S07</t>
        </is>
      </c>
      <c r="N7" s="12" t="inlineStr">
        <is>
          <t>Not Started</t>
        </is>
      </c>
      <c r="O7" s="13">
        <f>IF(N7="Done",1,IF(N7="QA",0.9,IF(N7="Integration",0.75,IF(N7="Frontend",0.55,IF(N7="Backend",0.35,IF(N7="UX/UI",0.1,0))))))</f>
        <v/>
      </c>
      <c r="P7" s="12" t="inlineStr">
        <is>
          <t>Rooms, Rates, Guests, Payments</t>
        </is>
      </c>
      <c r="Q7" s="12" t="inlineStr">
        <is>
          <t>Responsive desktop/tablet UI; loading, empty, error and permission states; filters; form validation; accessible interactions</t>
        </is>
      </c>
      <c r="R7" s="12" t="inlineStr">
        <is>
          <t>GET, POST, PUT/PATCH, DELETE /api/v1/reservation-calendar; lookup, validation and audit endpoints; idempotency for financial/booking writes</t>
        </is>
      </c>
      <c r="S7" s="12" t="inlineStr">
        <is>
          <t>reservations, reservation_guests, reservation_items, deposits</t>
        </is>
      </c>
      <c r="T7" s="12" t="inlineStr">
        <is>
          <t>Tenant/property scope; required fields; optimistic locking; timezone-safe dates; reason mandatory for overrides; availability and overlap check; status-transition rules; cancellation policy</t>
        </is>
      </c>
      <c r="U7" s="12" t="inlineStr">
        <is>
          <t>Authorized users can complete the primary reservation calendar workflow; invalid or conflicting actions are blocked with clear messages; saved changes appear in related screens; sensitive changes are auditable.</t>
        </is>
      </c>
      <c r="V7" s="12" t="inlineStr">
        <is>
          <t>RBAC, tenant and property isolation, server-side authorization, audit event for create/update/delete/override</t>
        </is>
      </c>
      <c r="W7" s="12" t="n"/>
      <c r="X7" s="14" t="n"/>
      <c r="Y7" s="14" t="n"/>
      <c r="Z7" s="12" t="n"/>
    </row>
    <row r="8" ht="70" customHeight="1" s="43">
      <c r="A8" s="10" t="n">
        <v>29</v>
      </c>
      <c r="B8" s="11" t="inlineStr">
        <is>
          <t>SCR-004</t>
        </is>
      </c>
      <c r="C8" s="12" t="inlineStr">
        <is>
          <t>Completed</t>
        </is>
      </c>
      <c r="D8" s="12" t="inlineStr">
        <is>
          <t>Reservations</t>
        </is>
      </c>
      <c r="E8" s="12" t="inlineStr">
        <is>
          <t>Booking Creation</t>
        </is>
      </c>
      <c r="F8" s="12" t="inlineStr">
        <is>
          <t>New Reservation</t>
        </is>
      </c>
      <c r="G8" s="12" t="inlineStr">
        <is>
          <t>Enable reservations users to manage booking creation through the New Reservation workflow with real-time status, validations and traceability.</t>
        </is>
      </c>
      <c r="H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8" s="12" t="inlineStr">
        <is>
          <t>List, search, filter, view, create, edit, cancel/delete where allowed, export, audit</t>
        </is>
      </c>
      <c r="J8" s="12" t="inlineStr">
        <is>
          <t>Reservation Manager / Agent / Front Desk</t>
        </is>
      </c>
      <c r="K8" s="12" t="inlineStr">
        <is>
          <t>Must Have</t>
        </is>
      </c>
      <c r="L8" s="12" t="inlineStr">
        <is>
          <t>3. Reservations, Groups &amp; Front Desk</t>
        </is>
      </c>
      <c r="M8" s="12" t="inlineStr">
        <is>
          <t>S05-S07</t>
        </is>
      </c>
      <c r="N8" s="12" t="inlineStr">
        <is>
          <t>Not Started</t>
        </is>
      </c>
      <c r="O8" s="13">
        <f>IF(N8="Done",1,IF(N8="QA",0.9,IF(N8="Integration",0.75,IF(N8="Frontend",0.55,IF(N8="Backend",0.35,IF(N8="UX/UI",0.1,0))))))</f>
        <v/>
      </c>
      <c r="P8" s="12" t="inlineStr">
        <is>
          <t>Rooms, Rates, Guests, Payments</t>
        </is>
      </c>
      <c r="Q8" s="12" t="inlineStr">
        <is>
          <t>Responsive desktop/tablet UI; loading, empty, error and permission states; filters; form validation; accessible interactions</t>
        </is>
      </c>
      <c r="R8" s="12" t="inlineStr">
        <is>
          <t>GET, POST, PUT/PATCH, DELETE /api/v1/new-reservation; lookup, validation and audit endpoints; idempotency for financial/booking writes</t>
        </is>
      </c>
      <c r="S8" s="12" t="inlineStr">
        <is>
          <t>reservations, reservation_guests, reservation_items, deposits</t>
        </is>
      </c>
      <c r="T8" s="12" t="inlineStr">
        <is>
          <t>Tenant/property scope; required fields; optimistic locking; timezone-safe dates; reason mandatory for overrides; availability and overlap check; status-transition rules; cancellation policy</t>
        </is>
      </c>
      <c r="U8" s="12" t="inlineStr">
        <is>
          <t>Authorized users can complete the primary new reservation workflow; invalid or conflicting actions are blocked with clear messages; saved changes appear in related screens; sensitive changes are auditable.</t>
        </is>
      </c>
      <c r="V8" s="12" t="inlineStr">
        <is>
          <t>RBAC, tenant and property isolation, server-side authorization, audit event for create/update/delete/override</t>
        </is>
      </c>
      <c r="W8" s="12" t="n"/>
      <c r="X8" s="14" t="n"/>
      <c r="Y8" s="14" t="n"/>
      <c r="Z8" s="12" t="n"/>
    </row>
    <row r="9" ht="70" customHeight="1" s="43">
      <c r="A9" s="10" t="n">
        <v>30</v>
      </c>
      <c r="B9" s="11" t="inlineStr">
        <is>
          <t>SCR-005</t>
        </is>
      </c>
      <c r="C9" s="12" t="inlineStr">
        <is>
          <t>Completed</t>
        </is>
      </c>
      <c r="D9" s="12" t="inlineStr">
        <is>
          <t>Front Desk</t>
        </is>
      </c>
      <c r="E9" s="12" t="inlineStr">
        <is>
          <t>Arrival</t>
        </is>
      </c>
      <c r="F9" s="12" t="inlineStr">
        <is>
          <t>Guest Check-In</t>
        </is>
      </c>
      <c r="G9" s="12" t="inlineStr">
        <is>
          <t>Enable front desk users to manage arrival through the Guest Check-In workflow with real-time status, validations and traceability.</t>
        </is>
      </c>
      <c r="H9"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9" s="12" t="inlineStr">
        <is>
          <t>List, search, filter, view, create, edit, cancel/delete where allowed, export, audit</t>
        </is>
      </c>
      <c r="J9" s="12" t="inlineStr">
        <is>
          <t>Front Office Manager / Receptionist / Cashier</t>
        </is>
      </c>
      <c r="K9" s="12" t="inlineStr">
        <is>
          <t>Must Have</t>
        </is>
      </c>
      <c r="L9" s="12" t="inlineStr">
        <is>
          <t>3. Reservations, Groups &amp; Front Desk</t>
        </is>
      </c>
      <c r="M9" s="12" t="inlineStr">
        <is>
          <t>S05-S07</t>
        </is>
      </c>
      <c r="N9" s="12" t="inlineStr">
        <is>
          <t>Not Started</t>
        </is>
      </c>
      <c r="O9" s="13">
        <f>IF(N9="Done",1,IF(N9="QA",0.9,IF(N9="Integration",0.75,IF(N9="Frontend",0.55,IF(N9="Backend",0.35,IF(N9="UX/UI",0.1,0))))))</f>
        <v/>
      </c>
      <c r="P9" s="12" t="inlineStr">
        <is>
          <t>Reservations, Rooms, Finance</t>
        </is>
      </c>
      <c r="Q9" s="12" t="inlineStr">
        <is>
          <t>Responsive desktop/tablet UI; loading, empty, error and permission states; filters; form validation; accessible interactions</t>
        </is>
      </c>
      <c r="R9" s="12" t="inlineStr">
        <is>
          <t>GET, POST, PUT/PATCH, DELETE /api/v1/guest-check-in; lookup, validation and audit endpoints; idempotency for financial/booking writes</t>
        </is>
      </c>
      <c r="S9" s="12" t="inlineStr">
        <is>
          <t>stays, room_assignments, folios, keys</t>
        </is>
      </c>
      <c r="T9" s="12" t="inlineStr">
        <is>
          <t>Tenant/property scope; required fields; optimistic locking; timezone-safe dates; reason mandatory for overrides; availability and overlap check; status-transition rules; cancellation policy</t>
        </is>
      </c>
      <c r="U9" s="12" t="inlineStr">
        <is>
          <t>Authorized users can complete the primary guest check-in workflow; invalid or conflicting actions are blocked with clear messages; saved changes appear in related screens; sensitive changes are auditable.</t>
        </is>
      </c>
      <c r="V9" s="12" t="inlineStr">
        <is>
          <t>RBAC, tenant and property isolation, server-side authorization, audit event for create/update/delete/override</t>
        </is>
      </c>
      <c r="W9" s="12" t="n"/>
      <c r="X9" s="14" t="n"/>
      <c r="Y9" s="14" t="n"/>
      <c r="Z9" s="12" t="n"/>
    </row>
    <row r="10" ht="70" customHeight="1" s="43">
      <c r="A10" s="10" t="n">
        <v>59</v>
      </c>
      <c r="B10" s="11" t="inlineStr">
        <is>
          <t>SCR-006</t>
        </is>
      </c>
      <c r="C10" s="12" t="inlineStr">
        <is>
          <t>Completed</t>
        </is>
      </c>
      <c r="D10" s="12" t="inlineStr">
        <is>
          <t>Housekeeping</t>
        </is>
      </c>
      <c r="E10" s="12" t="inlineStr">
        <is>
          <t>Room Operations</t>
        </is>
      </c>
      <c r="F10" s="12" t="inlineStr">
        <is>
          <t>Housekeeping Operations</t>
        </is>
      </c>
      <c r="G10" s="12" t="inlineStr">
        <is>
          <t>Enable housekeeping users to manage room operations through the Housekeeping Operations workflow with real-time status, validations and traceability.</t>
        </is>
      </c>
      <c r="H1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0" s="12" t="inlineStr">
        <is>
          <t>List, search, filter, view, create, edit, cancel/delete where allowed, export, audit</t>
        </is>
      </c>
      <c r="J10" s="12" t="inlineStr">
        <is>
          <t>Housekeeping Manager / Supervisor / Attendant</t>
        </is>
      </c>
      <c r="K10" s="12" t="inlineStr">
        <is>
          <t>Should Have</t>
        </is>
      </c>
      <c r="L10" s="12" t="inlineStr">
        <is>
          <t>5. Housekeeping &amp; Guest Services</t>
        </is>
      </c>
      <c r="M10" s="12" t="inlineStr">
        <is>
          <t>S10-S11</t>
        </is>
      </c>
      <c r="N10" s="12" t="inlineStr">
        <is>
          <t>Not Started</t>
        </is>
      </c>
      <c r="O10" s="13">
        <f>IF(N10="Done",1,IF(N10="QA",0.9,IF(N10="Integration",0.75,IF(N10="Frontend",0.55,IF(N10="Backend",0.35,IF(N10="UX/UI",0.1,0))))))</f>
        <v/>
      </c>
      <c r="P10" s="12" t="inlineStr">
        <is>
          <t>Rooms, Workforce, Inventory</t>
        </is>
      </c>
      <c r="Q10" s="12" t="inlineStr">
        <is>
          <t>Responsive desktop/tablet UI; loading, empty, error and permission states; filters; form validation; accessible interactions</t>
        </is>
      </c>
      <c r="R10" s="12" t="inlineStr">
        <is>
          <t>GET, POST, PUT/PATCH, DELETE /api/v1/housekeeping-operations; lookup, validation and audit endpoints; idempotency for financial/booking writes</t>
        </is>
      </c>
      <c r="S10" s="12" t="inlineStr">
        <is>
          <t>housekeeping_tasks, room_status_logs, lost_found, linen_movements, minibar_postings</t>
        </is>
      </c>
      <c r="T10" s="12" t="inlineStr">
        <is>
          <t>Tenant/property scope; required fields; optimistic locking; timezone-safe dates; reason mandatory for overrides; valid status transition; linked-record integrity</t>
        </is>
      </c>
      <c r="U10" s="12" t="inlineStr">
        <is>
          <t>Authorized users can complete the primary housekeeping operations workflow; invalid or conflicting actions are blocked with clear messages; saved changes appear in related screens; sensitive changes are auditable.</t>
        </is>
      </c>
      <c r="V10" s="12" t="inlineStr">
        <is>
          <t>RBAC, tenant and property isolation, server-side authorization, audit event for create/update/delete/override</t>
        </is>
      </c>
      <c r="W10" s="12" t="n"/>
      <c r="X10" s="14" t="n"/>
      <c r="Y10" s="14" t="n"/>
      <c r="Z10" s="12" t="n"/>
    </row>
    <row r="11" ht="70" customHeight="1" s="43">
      <c r="A11" s="10" t="n">
        <v>31</v>
      </c>
      <c r="B11" s="11" t="inlineStr">
        <is>
          <t>SCR-007</t>
        </is>
      </c>
      <c r="C11" s="12" t="inlineStr">
        <is>
          <t>Completed</t>
        </is>
      </c>
      <c r="D11" s="12" t="inlineStr">
        <is>
          <t>Front Desk</t>
        </is>
      </c>
      <c r="E11" s="12" t="inlineStr">
        <is>
          <t>Departure &amp; Billing</t>
        </is>
      </c>
      <c r="F11" s="12" t="inlineStr">
        <is>
          <t>Guest Checkout Folio</t>
        </is>
      </c>
      <c r="G11" s="12" t="inlineStr">
        <is>
          <t>Enable front desk users to manage departure &amp; billing through the Guest Checkout Folio workflow with real-time status, validations and traceability.</t>
        </is>
      </c>
      <c r="H1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1" s="12" t="inlineStr">
        <is>
          <t>List, search, filter, view, create, edit, cancel/delete where allowed, export, audit</t>
        </is>
      </c>
      <c r="J11" s="12" t="inlineStr">
        <is>
          <t>Front Office Manager / Receptionist / Cashier</t>
        </is>
      </c>
      <c r="K11" s="12" t="inlineStr">
        <is>
          <t>Must Have</t>
        </is>
      </c>
      <c r="L11" s="12" t="inlineStr">
        <is>
          <t>3. Reservations, Groups &amp; Front Desk</t>
        </is>
      </c>
      <c r="M11" s="12" t="inlineStr">
        <is>
          <t>S05-S07</t>
        </is>
      </c>
      <c r="N11" s="12" t="inlineStr">
        <is>
          <t>Not Started</t>
        </is>
      </c>
      <c r="O11" s="13">
        <f>IF(N11="Done",1,IF(N11="QA",0.9,IF(N11="Integration",0.75,IF(N11="Frontend",0.55,IF(N11="Backend",0.35,IF(N11="UX/UI",0.1,0))))))</f>
        <v/>
      </c>
      <c r="P11" s="12" t="inlineStr">
        <is>
          <t>Reservations, Rooms, Finance</t>
        </is>
      </c>
      <c r="Q11" s="12" t="inlineStr">
        <is>
          <t>Responsive desktop/tablet UI; loading, empty, error and permission states; filters; form validation; accessible interactions</t>
        </is>
      </c>
      <c r="R11" s="12" t="inlineStr">
        <is>
          <t>GET, POST, PUT/PATCH, DELETE /api/v1/guest-checkout-folio; lookup, validation and audit endpoints; idempotency for financial/booking writes</t>
        </is>
      </c>
      <c r="S11" s="12" t="inlineStr">
        <is>
          <t>stays, room_assignments, folios, keys</t>
        </is>
      </c>
      <c r="T11" s="12" t="inlineStr">
        <is>
          <t>Tenant/property scope; required fields; optimistic locking; timezone-safe dates; reason mandatory for overrides; availability and overlap check; status-transition rules; cancellation policy</t>
        </is>
      </c>
      <c r="U11" s="12" t="inlineStr">
        <is>
          <t>Authorized users can complete the primary guest checkout folio workflow; invalid or conflicting actions are blocked with clear messages; saved changes appear in related screens; sensitive changes are auditable.</t>
        </is>
      </c>
      <c r="V11" s="12" t="inlineStr">
        <is>
          <t>RBAC, tenant and property isolation, server-side authorization, audit event for create/update/delete/override</t>
        </is>
      </c>
      <c r="W11" s="12" t="n"/>
      <c r="X11" s="14" t="n"/>
      <c r="Y11" s="14" t="n"/>
      <c r="Z11" s="12" t="n"/>
    </row>
    <row r="12" ht="70" customHeight="1" s="43">
      <c r="A12" s="10" t="n">
        <v>16</v>
      </c>
      <c r="B12" s="11" t="inlineStr">
        <is>
          <t>SCR-008</t>
        </is>
      </c>
      <c r="C12" s="12" t="inlineStr">
        <is>
          <t>Completed</t>
        </is>
      </c>
      <c r="D12" s="12" t="inlineStr">
        <is>
          <t>Property &amp; Rooms</t>
        </is>
      </c>
      <c r="E12" s="12" t="inlineStr">
        <is>
          <t>Inventory</t>
        </is>
      </c>
      <c r="F12" s="12" t="inlineStr">
        <is>
          <t>Rooms and Villas Inventory</t>
        </is>
      </c>
      <c r="G12" s="12" t="inlineStr">
        <is>
          <t>Enable property &amp; rooms users to manage inventory through the Rooms and Villas Inventory workflow with real-time status, validations and traceability.</t>
        </is>
      </c>
      <c r="H1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2" s="12" t="inlineStr">
        <is>
          <t>List, search, filter, view, create, edit, cancel/delete where allowed, export, audit</t>
        </is>
      </c>
      <c r="J12" s="12" t="inlineStr">
        <is>
          <t>Property Admin / Front Office / Housekeeping</t>
        </is>
      </c>
      <c r="K12" s="12" t="inlineStr">
        <is>
          <t>Must Have</t>
        </is>
      </c>
      <c r="L12" s="12" t="inlineStr">
        <is>
          <t>2. Inventory, Rates &amp; Distribution Foundation</t>
        </is>
      </c>
      <c r="M12" s="12" t="inlineStr">
        <is>
          <t>S03-S04</t>
        </is>
      </c>
      <c r="N12" s="12" t="inlineStr">
        <is>
          <t>Not Started</t>
        </is>
      </c>
      <c r="O12" s="13">
        <f>IF(N12="Done",1,IF(N12="QA",0.9,IF(N12="Integration",0.75,IF(N12="Frontend",0.55,IF(N12="Backend",0.35,IF(N12="UX/UI",0.1,0))))))</f>
        <v/>
      </c>
      <c r="P12" s="12" t="inlineStr">
        <is>
          <t>Administration</t>
        </is>
      </c>
      <c r="Q12" s="12" t="inlineStr">
        <is>
          <t>Responsive desktop/tablet UI; loading, empty, error and permission states; filters; form validation; accessible interactions</t>
        </is>
      </c>
      <c r="R12" s="12" t="inlineStr">
        <is>
          <t>GET, POST, PUT/PATCH, DELETE /api/v1/rooms-and-villas-inventory; lookup, validation and audit endpoints; idempotency for financial/booking writes</t>
        </is>
      </c>
      <c r="S12" s="12" t="inlineStr">
        <is>
          <t>properties, buildings, floors, room_types, rooms, amenities</t>
        </is>
      </c>
      <c r="T12" s="12" t="inlineStr">
        <is>
          <t>Tenant/property scope; required fields; optimistic locking; timezone-safe dates; reason mandatory for overrides; valid status transition; linked-record integrity</t>
        </is>
      </c>
      <c r="U12" s="12" t="inlineStr">
        <is>
          <t>Authorized users can complete the primary rooms and villas inventory workflow; invalid or conflicting actions are blocked with clear messages; saved changes appear in related screens; sensitive changes are auditable.</t>
        </is>
      </c>
      <c r="V12" s="12" t="inlineStr">
        <is>
          <t>RBAC, tenant and property isolation, server-side authorization, audit event for create/update/delete/override</t>
        </is>
      </c>
      <c r="W12" s="12" t="n"/>
      <c r="X12" s="14" t="n"/>
      <c r="Y12" s="14" t="n"/>
      <c r="Z12" s="12" t="n"/>
    </row>
    <row r="13" ht="70" customHeight="1" s="43">
      <c r="A13" s="10" t="n">
        <v>48</v>
      </c>
      <c r="B13" s="11" t="inlineStr">
        <is>
          <t>SCR-009</t>
        </is>
      </c>
      <c r="C13" s="12" t="inlineStr">
        <is>
          <t>Completed</t>
        </is>
      </c>
      <c r="D13" s="12" t="inlineStr">
        <is>
          <t>Guest CRM</t>
        </is>
      </c>
      <c r="E13" s="12" t="inlineStr">
        <is>
          <t>Guest 360</t>
        </is>
      </c>
      <c r="F13" s="12" t="inlineStr">
        <is>
          <t>Guest Profile</t>
        </is>
      </c>
      <c r="G13" s="12" t="inlineStr">
        <is>
          <t>Enable guest crm users to manage guest 360 through the Guest Profile workflow with real-time status, validations and traceability.</t>
        </is>
      </c>
      <c r="H1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3" s="12" t="inlineStr">
        <is>
          <t>List, search, filter, view, create, edit, cancel/delete where allowed, export, audit</t>
        </is>
      </c>
      <c r="J13" s="12" t="inlineStr">
        <is>
          <t>CRM Manager / Front Desk / Reservations</t>
        </is>
      </c>
      <c r="K13" s="12" t="inlineStr">
        <is>
          <t>Should Have</t>
        </is>
      </c>
      <c r="L13" s="12" t="inlineStr">
        <is>
          <t>4. Guest CRM, Privacy &amp; Communications</t>
        </is>
      </c>
      <c r="M13" s="12" t="inlineStr">
        <is>
          <t>S08-S09</t>
        </is>
      </c>
      <c r="N13" s="12" t="inlineStr">
        <is>
          <t>Not Started</t>
        </is>
      </c>
      <c r="O13" s="13">
        <f>IF(N13="Done",1,IF(N13="QA",0.9,IF(N13="Integration",0.75,IF(N13="Frontend",0.55,IF(N13="Backend",0.35,IF(N13="UX/UI",0.1,0))))))</f>
        <v/>
      </c>
      <c r="P13" s="12" t="inlineStr">
        <is>
          <t>Reservations, Communications</t>
        </is>
      </c>
      <c r="Q13" s="12" t="inlineStr">
        <is>
          <t>Responsive desktop/tablet UI; loading, empty, error and permission states; filters; form validation; accessible interactions</t>
        </is>
      </c>
      <c r="R13" s="12" t="inlineStr">
        <is>
          <t>GET, POST, PUT/PATCH, DELETE /api/v1/guest-profile; lookup, validation and audit endpoints; idempotency for financial/booking writes</t>
        </is>
      </c>
      <c r="S13" s="12" t="inlineStr">
        <is>
          <t>guests, guest_preferences, consents, documents, loyalty_accounts</t>
        </is>
      </c>
      <c r="T13" s="12" t="inlineStr">
        <is>
          <t>Tenant/property scope; required fields; optimistic locking; timezone-safe dates; reason mandatory for overrides; duplicate detection; consent and retention policy; sensitive document masking</t>
        </is>
      </c>
      <c r="U13" s="12" t="inlineStr">
        <is>
          <t>Authorized users can complete the primary guest profile workflow; invalid or conflicting actions are blocked with clear messages; saved changes appear in related screens; sensitive changes are auditable.</t>
        </is>
      </c>
      <c r="V13" s="12" t="inlineStr">
        <is>
          <t>RBAC, tenant and property isolation, server-side authorization, audit event for create/update/delete/override; field masking and approval/audit evidence required</t>
        </is>
      </c>
      <c r="W13" s="12" t="n"/>
      <c r="X13" s="14" t="n"/>
      <c r="Y13" s="14" t="n"/>
      <c r="Z13" s="12" t="n"/>
    </row>
    <row r="14" ht="70" customHeight="1" s="43">
      <c r="A14" s="10" t="n">
        <v>49</v>
      </c>
      <c r="B14" s="11" t="inlineStr">
        <is>
          <t>SCR-010</t>
        </is>
      </c>
      <c r="C14" s="12" t="inlineStr">
        <is>
          <t>Completed</t>
        </is>
      </c>
      <c r="D14" s="12" t="inlineStr">
        <is>
          <t>Guest CRM</t>
        </is>
      </c>
      <c r="E14" s="12" t="inlineStr">
        <is>
          <t>Guest Directory</t>
        </is>
      </c>
      <c r="F14" s="12" t="inlineStr">
        <is>
          <t>Guest Directory</t>
        </is>
      </c>
      <c r="G14" s="12" t="inlineStr">
        <is>
          <t>Enable guest crm users to manage guest directory through the Guest Directory workflow with real-time status, validations and traceability.</t>
        </is>
      </c>
      <c r="H14"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4" s="12" t="inlineStr">
        <is>
          <t>List, search, filter, view, create, edit, cancel/delete where allowed, export, audit</t>
        </is>
      </c>
      <c r="J14" s="12" t="inlineStr">
        <is>
          <t>CRM Manager / Front Desk / Reservations</t>
        </is>
      </c>
      <c r="K14" s="12" t="inlineStr">
        <is>
          <t>Should Have</t>
        </is>
      </c>
      <c r="L14" s="12" t="inlineStr">
        <is>
          <t>4. Guest CRM, Privacy &amp; Communications</t>
        </is>
      </c>
      <c r="M14" s="12" t="inlineStr">
        <is>
          <t>S08-S09</t>
        </is>
      </c>
      <c r="N14" s="12" t="inlineStr">
        <is>
          <t>Not Started</t>
        </is>
      </c>
      <c r="O14" s="13">
        <f>IF(N14="Done",1,IF(N14="QA",0.9,IF(N14="Integration",0.75,IF(N14="Frontend",0.55,IF(N14="Backend",0.35,IF(N14="UX/UI",0.1,0))))))</f>
        <v/>
      </c>
      <c r="P14" s="12" t="inlineStr">
        <is>
          <t>Reservations, Communications</t>
        </is>
      </c>
      <c r="Q14" s="12" t="inlineStr">
        <is>
          <t>Responsive desktop/tablet UI; loading, empty, error and permission states; filters; form validation; accessible interactions</t>
        </is>
      </c>
      <c r="R14" s="12" t="inlineStr">
        <is>
          <t>GET, POST, PUT/PATCH, DELETE /api/v1/guest-directory; lookup, validation and audit endpoints; idempotency for financial/booking writes</t>
        </is>
      </c>
      <c r="S14" s="12" t="inlineStr">
        <is>
          <t>guests, guest_preferences, consents, documents, loyalty_accounts</t>
        </is>
      </c>
      <c r="T14" s="12" t="inlineStr">
        <is>
          <t>Tenant/property scope; required fields; optimistic locking; timezone-safe dates; reason mandatory for overrides; duplicate detection; consent and retention policy; sensitive document masking</t>
        </is>
      </c>
      <c r="U14" s="12" t="inlineStr">
        <is>
          <t>Authorized users can complete the primary guest directory workflow; invalid or conflicting actions are blocked with clear messages; saved changes appear in related screens; sensitive changes are auditable.</t>
        </is>
      </c>
      <c r="V14" s="12" t="inlineStr">
        <is>
          <t>RBAC, tenant and property isolation, server-side authorization, audit event for create/update/delete/override; field masking and approval/audit evidence required</t>
        </is>
      </c>
      <c r="W14" s="12" t="n"/>
      <c r="X14" s="14" t="n"/>
      <c r="Y14" s="14" t="n"/>
      <c r="Z14" s="12" t="n"/>
    </row>
    <row r="15" ht="70" customHeight="1" s="43">
      <c r="A15" s="10" t="n">
        <v>17</v>
      </c>
      <c r="B15" s="11" t="inlineStr">
        <is>
          <t>SCR-011</t>
        </is>
      </c>
      <c r="C15" s="12" t="inlineStr">
        <is>
          <t>Completed</t>
        </is>
      </c>
      <c r="D15" s="12" t="inlineStr">
        <is>
          <t>Property &amp; Rooms</t>
        </is>
      </c>
      <c r="E15" s="12" t="inlineStr">
        <is>
          <t>Room Details</t>
        </is>
      </c>
      <c r="F15" s="12" t="inlineStr">
        <is>
          <t>Room Details</t>
        </is>
      </c>
      <c r="G15" s="12" t="inlineStr">
        <is>
          <t>Enable property &amp; rooms users to manage room details through the Room Details workflow with real-time status, validations and traceability.</t>
        </is>
      </c>
      <c r="H15"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5" s="12" t="inlineStr">
        <is>
          <t>List, search, filter, view, create, edit, cancel/delete where allowed, export, audit</t>
        </is>
      </c>
      <c r="J15" s="12" t="inlineStr">
        <is>
          <t>Property Admin / Front Office / Housekeeping</t>
        </is>
      </c>
      <c r="K15" s="12" t="inlineStr">
        <is>
          <t>Must Have</t>
        </is>
      </c>
      <c r="L15" s="12" t="inlineStr">
        <is>
          <t>2. Inventory, Rates &amp; Distribution Foundation</t>
        </is>
      </c>
      <c r="M15" s="12" t="inlineStr">
        <is>
          <t>S03-S04</t>
        </is>
      </c>
      <c r="N15" s="12" t="inlineStr">
        <is>
          <t>Not Started</t>
        </is>
      </c>
      <c r="O15" s="13">
        <f>IF(N15="Done",1,IF(N15="QA",0.9,IF(N15="Integration",0.75,IF(N15="Frontend",0.55,IF(N15="Backend",0.35,IF(N15="UX/UI",0.1,0))))))</f>
        <v/>
      </c>
      <c r="P15" s="12" t="inlineStr">
        <is>
          <t>Administration</t>
        </is>
      </c>
      <c r="Q15" s="12" t="inlineStr">
        <is>
          <t>Responsive desktop/tablet UI; loading, empty, error and permission states; filters; form validation; accessible interactions</t>
        </is>
      </c>
      <c r="R15" s="12" t="inlineStr">
        <is>
          <t>GET, POST, PUT/PATCH, DELETE /api/v1/room-details; lookup, validation and audit endpoints; idempotency for financial/booking writes</t>
        </is>
      </c>
      <c r="S15" s="12" t="inlineStr">
        <is>
          <t>properties, buildings, floors, room_types, rooms, amenities</t>
        </is>
      </c>
      <c r="T15" s="12" t="inlineStr">
        <is>
          <t>Tenant/property scope; required fields; optimistic locking; timezone-safe dates; reason mandatory for overrides; valid status transition; linked-record integrity</t>
        </is>
      </c>
      <c r="U15" s="12" t="inlineStr">
        <is>
          <t>Authorized users can complete the primary room details workflow; invalid or conflicting actions are blocked with clear messages; saved changes appear in related screens; sensitive changes are auditable.</t>
        </is>
      </c>
      <c r="V15" s="12" t="inlineStr">
        <is>
          <t>RBAC, tenant and property isolation, server-side authorization, audit event for create/update/delete/override</t>
        </is>
      </c>
      <c r="W15" s="12" t="n"/>
      <c r="X15" s="14" t="n"/>
      <c r="Y15" s="14" t="n"/>
      <c r="Z15" s="12" t="n"/>
    </row>
    <row r="16" ht="70" customHeight="1" s="43">
      <c r="A16" s="10" t="n">
        <v>67</v>
      </c>
      <c r="B16" s="11" t="inlineStr">
        <is>
          <t>SCR-012</t>
        </is>
      </c>
      <c r="C16" s="12" t="inlineStr">
        <is>
          <t>Completed</t>
        </is>
      </c>
      <c r="D16" s="12" t="inlineStr">
        <is>
          <t>Food &amp; Beverage</t>
        </is>
      </c>
      <c r="E16" s="12" t="inlineStr">
        <is>
          <t>Kitchen</t>
        </is>
      </c>
      <c r="F16" s="12" t="inlineStr">
        <is>
          <t>Kitchen Display System</t>
        </is>
      </c>
      <c r="G16" s="12" t="inlineStr">
        <is>
          <t>Enable food &amp; beverage users to manage kitchen through the Kitchen Display System workflow with real-time status, validations and traceability.</t>
        </is>
      </c>
      <c r="H1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6" s="12" t="inlineStr">
        <is>
          <t>List, search, filter, view, create, edit, cancel/delete where allowed, export, audit</t>
        </is>
      </c>
      <c r="J16" s="12" t="inlineStr">
        <is>
          <t>F&amp;B Manager / Server / POS Cashier / Kitchen</t>
        </is>
      </c>
      <c r="K16" s="12" t="inlineStr">
        <is>
          <t>Should Have</t>
        </is>
      </c>
      <c r="L16" s="12" t="inlineStr">
        <is>
          <t>6. Restaurant POS &amp; Kitchen</t>
        </is>
      </c>
      <c r="M16" s="12" t="inlineStr">
        <is>
          <t>S12-S13</t>
        </is>
      </c>
      <c r="N16" s="12" t="inlineStr">
        <is>
          <t>Not Started</t>
        </is>
      </c>
      <c r="O16" s="13">
        <f>IF(N16="Done",1,IF(N16="QA",0.9,IF(N16="Integration",0.75,IF(N16="Frontend",0.55,IF(N16="Backend",0.35,IF(N16="UX/UI",0.1,0))))))</f>
        <v/>
      </c>
      <c r="P16" s="12" t="inlineStr">
        <is>
          <t>Inventory, Finance, Guests</t>
        </is>
      </c>
      <c r="Q16" s="12" t="inlineStr">
        <is>
          <t>Responsive desktop/tablet UI; loading, empty, error and permission states; filters; form validation; accessible interactions</t>
        </is>
      </c>
      <c r="R16" s="12" t="inlineStr">
        <is>
          <t>GET, POST, PUT/PATCH, DELETE /api/v1/kitchen-display-system; lookup, validation and audit endpoints; idempotency for financial/booking writes</t>
        </is>
      </c>
      <c r="S16" s="12" t="inlineStr">
        <is>
          <t>outlets, tables, menu_items, pos_orders, pos_bills, kitchen_tickets</t>
        </is>
      </c>
      <c r="T16" s="12" t="inlineStr">
        <is>
          <t>Tenant/property scope; required fields; optimistic locking; timezone-safe dates; reason mandatory for overrides; currency precision; tax/rate totals; approval limit; no unbalanced or duplicate posting</t>
        </is>
      </c>
      <c r="U16" s="12" t="inlineStr">
        <is>
          <t>Authorized users can complete the primary kitchen display system workflow; invalid or conflicting actions are blocked with clear messages; saved changes appear in related screens; sensitive changes are auditable.</t>
        </is>
      </c>
      <c r="V16" s="12" t="inlineStr">
        <is>
          <t>RBAC, tenant and property isolation, server-side authorization, audit event for create/update/delete/override</t>
        </is>
      </c>
      <c r="W16" s="12" t="n"/>
      <c r="X16" s="14" t="n"/>
      <c r="Y16" s="14" t="n"/>
      <c r="Z16" s="12" t="n"/>
    </row>
    <row r="17" ht="70" customHeight="1" s="43">
      <c r="A17" s="10" t="n">
        <v>68</v>
      </c>
      <c r="B17" s="11" t="inlineStr">
        <is>
          <t>SCR-013</t>
        </is>
      </c>
      <c r="C17" s="12" t="inlineStr">
        <is>
          <t>Completed</t>
        </is>
      </c>
      <c r="D17" s="12" t="inlineStr">
        <is>
          <t>Food &amp; Beverage</t>
        </is>
      </c>
      <c r="E17" s="12" t="inlineStr">
        <is>
          <t>Restaurant POS</t>
        </is>
      </c>
      <c r="F17" s="12" t="inlineStr">
        <is>
          <t>Restaurant POS</t>
        </is>
      </c>
      <c r="G17" s="12" t="inlineStr">
        <is>
          <t>Enable food &amp; beverage users to manage restaurant pos through the Restaurant POS workflow with real-time status, validations and traceability.</t>
        </is>
      </c>
      <c r="H17"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7" s="12" t="inlineStr">
        <is>
          <t>List, search, filter, view, create, edit, cancel/delete where allowed, export, audit</t>
        </is>
      </c>
      <c r="J17" s="12" t="inlineStr">
        <is>
          <t>F&amp;B Manager / Server / POS Cashier / Kitchen</t>
        </is>
      </c>
      <c r="K17" s="12" t="inlineStr">
        <is>
          <t>Should Have</t>
        </is>
      </c>
      <c r="L17" s="12" t="inlineStr">
        <is>
          <t>6. Restaurant POS &amp; Kitchen</t>
        </is>
      </c>
      <c r="M17" s="12" t="inlineStr">
        <is>
          <t>S12-S13</t>
        </is>
      </c>
      <c r="N17" s="12" t="inlineStr">
        <is>
          <t>Not Started</t>
        </is>
      </c>
      <c r="O17" s="13">
        <f>IF(N17="Done",1,IF(N17="QA",0.9,IF(N17="Integration",0.75,IF(N17="Frontend",0.55,IF(N17="Backend",0.35,IF(N17="UX/UI",0.1,0))))))</f>
        <v/>
      </c>
      <c r="P17" s="12" t="inlineStr">
        <is>
          <t>Inventory, Finance, Guests</t>
        </is>
      </c>
      <c r="Q17" s="12" t="inlineStr">
        <is>
          <t>Responsive desktop/tablet UI; loading, empty, error and permission states; filters; form validation; accessible interactions</t>
        </is>
      </c>
      <c r="R17" s="12" t="inlineStr">
        <is>
          <t>GET, POST, PUT/PATCH, DELETE /api/v1/restaurant-pos; lookup, validation and audit endpoints; idempotency for financial/booking writes</t>
        </is>
      </c>
      <c r="S17" s="12" t="inlineStr">
        <is>
          <t>outlets, tables, menu_items, pos_orders, pos_bills, kitchen_tickets</t>
        </is>
      </c>
      <c r="T17" s="12" t="inlineStr">
        <is>
          <t>Tenant/property scope; required fields; optimistic locking; timezone-safe dates; reason mandatory for overrides; currency precision; tax/rate totals; approval limit; no unbalanced or duplicate posting</t>
        </is>
      </c>
      <c r="U17" s="12" t="inlineStr">
        <is>
          <t>Authorized users can complete the primary restaurant pos workflow; invalid or conflicting actions are blocked with clear messages; saved changes appear in related screens; sensitive changes are auditable.</t>
        </is>
      </c>
      <c r="V17" s="12" t="inlineStr">
        <is>
          <t>RBAC, tenant and property isolation, server-side authorization, audit event for create/update/delete/override</t>
        </is>
      </c>
      <c r="W17" s="12" t="n"/>
      <c r="X17" s="14" t="n"/>
      <c r="Y17" s="14" t="n"/>
      <c r="Z17" s="12" t="n"/>
    </row>
    <row r="18" ht="70" customHeight="1" s="43">
      <c r="A18" s="10" t="n">
        <v>60</v>
      </c>
      <c r="B18" s="11" t="inlineStr">
        <is>
          <t>SCR-014</t>
        </is>
      </c>
      <c r="C18" s="12" t="inlineStr">
        <is>
          <t>Completed</t>
        </is>
      </c>
      <c r="D18" s="12" t="inlineStr">
        <is>
          <t>Guest Services</t>
        </is>
      </c>
      <c r="E18" s="12" t="inlineStr">
        <is>
          <t>Service Desk</t>
        </is>
      </c>
      <c r="F18" s="12" t="inlineStr">
        <is>
          <t>Guest Services Hub</t>
        </is>
      </c>
      <c r="G18" s="12" t="inlineStr">
        <is>
          <t>Enable guest services users to manage service desk through the Guest Services Hub workflow with real-time status, validations and traceability.</t>
        </is>
      </c>
      <c r="H1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8" s="12" t="inlineStr">
        <is>
          <t>List, search, filter, view, create, edit, cancel/delete where allowed, export, audit</t>
        </is>
      </c>
      <c r="J18" s="12" t="inlineStr">
        <is>
          <t>Guest Relations / Concierge / Front Desk</t>
        </is>
      </c>
      <c r="K18" s="12" t="inlineStr">
        <is>
          <t>Should Have</t>
        </is>
      </c>
      <c r="L18" s="12" t="inlineStr">
        <is>
          <t>5. Housekeeping &amp; Guest Services</t>
        </is>
      </c>
      <c r="M18" s="12" t="inlineStr">
        <is>
          <t>S10-S11</t>
        </is>
      </c>
      <c r="N18" s="12" t="inlineStr">
        <is>
          <t>Not Started</t>
        </is>
      </c>
      <c r="O18" s="13">
        <f>IF(N18="Done",1,IF(N18="QA",0.9,IF(N18="Integration",0.75,IF(N18="Frontend",0.55,IF(N18="Backend",0.35,IF(N18="UX/UI",0.1,0))))))</f>
        <v/>
      </c>
      <c r="P18" s="12" t="inlineStr">
        <is>
          <t>Guests, Rooms, Workforce</t>
        </is>
      </c>
      <c r="Q18" s="12" t="inlineStr">
        <is>
          <t>Responsive desktop/tablet UI; loading, empty, error and permission states; filters; form validation; accessible interactions</t>
        </is>
      </c>
      <c r="R18" s="12" t="inlineStr">
        <is>
          <t>GET, POST, PUT/PATCH, DELETE /api/v1/guest-services-hub; lookup, validation and audit endpoints; idempotency for financial/booking writes</t>
        </is>
      </c>
      <c r="S18" s="12" t="inlineStr">
        <is>
          <t>service_requests, service_tasks, guest_notes</t>
        </is>
      </c>
      <c r="T18" s="12" t="inlineStr">
        <is>
          <t>Tenant/property scope; required fields; optimistic locking; timezone-safe dates; reason mandatory for overrides; valid status transition; linked-record integrity</t>
        </is>
      </c>
      <c r="U18" s="12" t="inlineStr">
        <is>
          <t>Authorized users can complete the primary guest services hub workflow; invalid or conflicting actions are blocked with clear messages; saved changes appear in related screens; sensitive changes are auditable.</t>
        </is>
      </c>
      <c r="V18" s="12" t="inlineStr">
        <is>
          <t>RBAC, tenant and property isolation, server-side authorization, audit event for create/update/delete/override</t>
        </is>
      </c>
      <c r="W18" s="12" t="n"/>
      <c r="X18" s="14" t="n"/>
      <c r="Y18" s="14" t="n"/>
      <c r="Z18" s="12" t="n"/>
    </row>
    <row r="19" ht="70" customHeight="1" s="43">
      <c r="A19" s="10" t="n">
        <v>92</v>
      </c>
      <c r="B19" s="11" t="inlineStr">
        <is>
          <t>SCR-015</t>
        </is>
      </c>
      <c r="C19" s="12" t="inlineStr">
        <is>
          <t>Completed</t>
        </is>
      </c>
      <c r="D19" s="12" t="inlineStr">
        <is>
          <t>Activities</t>
        </is>
      </c>
      <c r="E19" s="12" t="inlineStr">
        <is>
          <t>Experience Operations</t>
        </is>
      </c>
      <c r="F19" s="12" t="inlineStr">
        <is>
          <t>Activities and Experiences</t>
        </is>
      </c>
      <c r="G19" s="12" t="inlineStr">
        <is>
          <t>Enable activities users to manage experience operations through the Activities and Experiences workflow with real-time status, validations and traceability.</t>
        </is>
      </c>
      <c r="H19"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9" s="12" t="inlineStr">
        <is>
          <t>List, search, filter, view, create, edit, cancel/delete where allowed, export, audit</t>
        </is>
      </c>
      <c r="J19" s="12" t="inlineStr">
        <is>
          <t>Activities Manager / Concierge</t>
        </is>
      </c>
      <c r="K19" s="12" t="inlineStr">
        <is>
          <t>Could Have</t>
        </is>
      </c>
      <c r="L19" s="12" t="inlineStr">
        <is>
          <t>9. Activities, Spa, Events &amp; Transport</t>
        </is>
      </c>
      <c r="M19" s="12" t="inlineStr">
        <is>
          <t>S17-S19</t>
        </is>
      </c>
      <c r="N19" s="12" t="inlineStr">
        <is>
          <t>Not Started</t>
        </is>
      </c>
      <c r="O19" s="13">
        <f>IF(N19="Done",1,IF(N19="QA",0.9,IF(N19="Integration",0.75,IF(N19="Frontend",0.55,IF(N19="Backend",0.35,IF(N19="UX/UI",0.1,0))))))</f>
        <v/>
      </c>
      <c r="P19" s="12" t="inlineStr">
        <is>
          <t>Guests, Resources, Finance</t>
        </is>
      </c>
      <c r="Q19" s="12" t="inlineStr">
        <is>
          <t>Responsive desktop/tablet UI; loading, empty, error and permission states; filters; form validation; accessible interactions</t>
        </is>
      </c>
      <c r="R19" s="12" t="inlineStr">
        <is>
          <t>GET, POST, PUT/PATCH, DELETE /api/v1/activities-and-experiences; lookup, validation and audit endpoints; idempotency for financial/booking writes</t>
        </is>
      </c>
      <c r="S19" s="12" t="inlineStr">
        <is>
          <t>activities, activity_slots, activity_bookings</t>
        </is>
      </c>
      <c r="T19" s="12" t="inlineStr">
        <is>
          <t>Tenant/property scope; required fields; optimistic locking; timezone-safe dates; reason mandatory for overrides; availability and overlap check; status-transition rules; cancellation policy</t>
        </is>
      </c>
      <c r="U19" s="12" t="inlineStr">
        <is>
          <t>Authorized users can complete the primary activities and experiences workflow; invalid or conflicting actions are blocked with clear messages; saved changes appear in related screens; sensitive changes are auditable.</t>
        </is>
      </c>
      <c r="V19" s="12" t="inlineStr">
        <is>
          <t>RBAC, tenant and property isolation, server-side authorization, audit event for create/update/delete/override</t>
        </is>
      </c>
      <c r="W19" s="12" t="n"/>
      <c r="X19" s="14" t="n"/>
      <c r="Y19" s="14" t="n"/>
      <c r="Z19" s="12" t="n"/>
    </row>
    <row r="20" ht="70" customHeight="1" s="43">
      <c r="A20" s="10" t="n">
        <v>93</v>
      </c>
      <c r="B20" s="11" t="inlineStr">
        <is>
          <t>SCR-016</t>
        </is>
      </c>
      <c r="C20" s="12" t="inlineStr">
        <is>
          <t>Completed</t>
        </is>
      </c>
      <c r="D20" s="12" t="inlineStr">
        <is>
          <t>Spa</t>
        </is>
      </c>
      <c r="E20" s="12" t="inlineStr">
        <is>
          <t>Appointment Operations</t>
        </is>
      </c>
      <c r="F20" s="12" t="inlineStr">
        <is>
          <t>Spa Scheduling</t>
        </is>
      </c>
      <c r="G20" s="12" t="inlineStr">
        <is>
          <t>Enable spa users to manage appointment operations through the Spa Scheduling workflow with real-time status, validations and traceability.</t>
        </is>
      </c>
      <c r="H2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20" s="12" t="inlineStr">
        <is>
          <t>List, search, filter, view, create, edit, cancel/delete where allowed, export, audit</t>
        </is>
      </c>
      <c r="J20" s="12" t="inlineStr">
        <is>
          <t>Spa Manager / Receptionist / Therapist</t>
        </is>
      </c>
      <c r="K20" s="12" t="inlineStr">
        <is>
          <t>Could Have</t>
        </is>
      </c>
      <c r="L20" s="12" t="inlineStr">
        <is>
          <t>9. Activities, Spa, Events &amp; Transport</t>
        </is>
      </c>
      <c r="M20" s="12" t="inlineStr">
        <is>
          <t>S17-S19</t>
        </is>
      </c>
      <c r="N20" s="12" t="inlineStr">
        <is>
          <t>Not Started</t>
        </is>
      </c>
      <c r="O20" s="13">
        <f>IF(N20="Done",1,IF(N20="QA",0.9,IF(N20="Integration",0.75,IF(N20="Frontend",0.55,IF(N20="Backend",0.35,IF(N20="UX/UI",0.1,0))))))</f>
        <v/>
      </c>
      <c r="P20" s="12" t="inlineStr">
        <is>
          <t>Guests, Workforce, Finance</t>
        </is>
      </c>
      <c r="Q20" s="12" t="inlineStr">
        <is>
          <t>Responsive desktop/tablet UI; loading, empty, error and permission states; filters; form validation; accessible interactions</t>
        </is>
      </c>
      <c r="R20" s="12" t="inlineStr">
        <is>
          <t>GET, POST, PUT/PATCH, DELETE /api/v1/spa-scheduling; lookup, validation and audit endpoints; idempotency for financial/booking writes</t>
        </is>
      </c>
      <c r="S20" s="12" t="inlineStr">
        <is>
          <t>treatments, spa_resources, spa_appointments</t>
        </is>
      </c>
      <c r="T20" s="12" t="inlineStr">
        <is>
          <t>Tenant/property scope; required fields; optimistic locking; timezone-safe dates; reason mandatory for overrides; availability and overlap check; status-transition rules; cancellation policy</t>
        </is>
      </c>
      <c r="U20" s="12" t="inlineStr">
        <is>
          <t>Authorized users can complete the primary spa scheduling workflow; invalid or conflicting actions are blocked with clear messages; saved changes appear in related screens; sensitive changes are auditable.</t>
        </is>
      </c>
      <c r="V20" s="12" t="inlineStr">
        <is>
          <t>RBAC, tenant and property isolation, server-side authorization, audit event for create/update/delete/override</t>
        </is>
      </c>
      <c r="W20" s="12" t="n"/>
      <c r="X20" s="14" t="n"/>
      <c r="Y20" s="14" t="n"/>
      <c r="Z20" s="12" t="n"/>
    </row>
    <row r="21" ht="70" customHeight="1" s="43">
      <c r="A21" s="10" t="n">
        <v>94</v>
      </c>
      <c r="B21" s="11" t="inlineStr">
        <is>
          <t>SCR-017</t>
        </is>
      </c>
      <c r="C21" s="12" t="inlineStr">
        <is>
          <t>Completed</t>
        </is>
      </c>
      <c r="D21" s="12" t="inlineStr">
        <is>
          <t>Events &amp; Banquets</t>
        </is>
      </c>
      <c r="E21" s="12" t="inlineStr">
        <is>
          <t>Event Operations</t>
        </is>
      </c>
      <c r="F21" s="12" t="inlineStr">
        <is>
          <t>Events and Banquets</t>
        </is>
      </c>
      <c r="G21" s="12" t="inlineStr">
        <is>
          <t>Enable events &amp; banquets users to manage event operations through the Events and Banquets workflow with real-time status, validations and traceability.</t>
        </is>
      </c>
      <c r="H2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21" s="12" t="inlineStr">
        <is>
          <t>List, search, filter, view, create, edit, cancel/delete where allowed, export, audit</t>
        </is>
      </c>
      <c r="J21" s="12" t="inlineStr">
        <is>
          <t>Sales / Event Manager / Banquet Operations</t>
        </is>
      </c>
      <c r="K21" s="12" t="inlineStr">
        <is>
          <t>Could Have</t>
        </is>
      </c>
      <c r="L21" s="12" t="inlineStr">
        <is>
          <t>9. Activities, Spa, Events &amp; Transport</t>
        </is>
      </c>
      <c r="M21" s="12" t="inlineStr">
        <is>
          <t>S17-S19</t>
        </is>
      </c>
      <c r="N21" s="12" t="inlineStr">
        <is>
          <t>Not Started</t>
        </is>
      </c>
      <c r="O21" s="13">
        <f>IF(N21="Done",1,IF(N21="QA",0.9,IF(N21="Integration",0.75,IF(N21="Frontend",0.55,IF(N21="Backend",0.35,IF(N21="UX/UI",0.1,0))))))</f>
        <v/>
      </c>
      <c r="P21" s="12" t="inlineStr">
        <is>
          <t>Guests, Inventory, Finance</t>
        </is>
      </c>
      <c r="Q21" s="12" t="inlineStr">
        <is>
          <t>Responsive desktop/tablet UI; loading, empty, error and permission states; filters; form validation; accessible interactions</t>
        </is>
      </c>
      <c r="R21" s="12" t="inlineStr">
        <is>
          <t>GET, POST, PUT/PATCH, DELETE /api/v1/events-and-banquets; lookup, validation and audit endpoints; idempotency for financial/booking writes</t>
        </is>
      </c>
      <c r="S21" s="12" t="inlineStr">
        <is>
          <t>event_leads, quotations, events, function_sheets</t>
        </is>
      </c>
      <c r="T21" s="12" t="inlineStr">
        <is>
          <t>Tenant/property scope; required fields; optimistic locking; timezone-safe dates; reason mandatory for overrides; availability and overlap check; status-transition rules; cancellation policy</t>
        </is>
      </c>
      <c r="U21" s="12" t="inlineStr">
        <is>
          <t>Authorized users can complete the primary events and banquets workflow; invalid or conflicting actions are blocked with clear messages; saved changes appear in related screens; sensitive changes are auditable.</t>
        </is>
      </c>
      <c r="V21" s="12" t="inlineStr">
        <is>
          <t>RBAC, tenant and property isolation, server-side authorization, audit event for create/update/delete/override</t>
        </is>
      </c>
      <c r="W21" s="12" t="n"/>
      <c r="X21" s="14" t="n"/>
      <c r="Y21" s="14" t="n"/>
      <c r="Z21" s="12" t="n"/>
    </row>
    <row r="22" ht="70" customHeight="1" s="43">
      <c r="A22" s="10" t="n">
        <v>95</v>
      </c>
      <c r="B22" s="11" t="inlineStr">
        <is>
          <t>SCR-018</t>
        </is>
      </c>
      <c r="C22" s="12" t="inlineStr">
        <is>
          <t>Completed</t>
        </is>
      </c>
      <c r="D22" s="12" t="inlineStr">
        <is>
          <t>Transport</t>
        </is>
      </c>
      <c r="E22" s="12" t="inlineStr">
        <is>
          <t>Transfer Operations</t>
        </is>
      </c>
      <c r="F22" s="12" t="inlineStr">
        <is>
          <t>Transport and Transfers</t>
        </is>
      </c>
      <c r="G22" s="12" t="inlineStr">
        <is>
          <t>Enable transport users to manage transfer operations through the Transport and Transfers workflow with real-time status, validations and traceability.</t>
        </is>
      </c>
      <c r="H2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22" s="12" t="inlineStr">
        <is>
          <t>List, search, filter, view, create, edit, cancel/delete where allowed, export, audit</t>
        </is>
      </c>
      <c r="J22" s="12" t="inlineStr">
        <is>
          <t>Transport Manager / Dispatcher / Driver</t>
        </is>
      </c>
      <c r="K22" s="12" t="inlineStr">
        <is>
          <t>Could Have</t>
        </is>
      </c>
      <c r="L22" s="12" t="inlineStr">
        <is>
          <t>9. Activities, Spa, Events &amp; Transport</t>
        </is>
      </c>
      <c r="M22" s="12" t="inlineStr">
        <is>
          <t>S17-S19</t>
        </is>
      </c>
      <c r="N22" s="12" t="inlineStr">
        <is>
          <t>Not Started</t>
        </is>
      </c>
      <c r="O22" s="13">
        <f>IF(N22="Done",1,IF(N22="QA",0.9,IF(N22="Integration",0.75,IF(N22="Frontend",0.55,IF(N22="Backend",0.35,IF(N22="UX/UI",0.1,0))))))</f>
        <v/>
      </c>
      <c r="P22" s="12" t="inlineStr">
        <is>
          <t>Guests, Workforce, Finance</t>
        </is>
      </c>
      <c r="Q22" s="12" t="inlineStr">
        <is>
          <t>Responsive desktop/tablet UI; loading, empty, error and permission states; filters; form validation; accessible interactions</t>
        </is>
      </c>
      <c r="R22" s="12" t="inlineStr">
        <is>
          <t>GET, POST, PUT/PATCH, DELETE /api/v1/transport-and-transfers; lookup, validation and audit endpoints; idempotency for financial/booking writes</t>
        </is>
      </c>
      <c r="S22" s="12" t="inlineStr">
        <is>
          <t>vehicles, drivers, transport_bookings, trips</t>
        </is>
      </c>
      <c r="T22" s="12" t="inlineStr">
        <is>
          <t>Tenant/property scope; required fields; optimistic locking; timezone-safe dates; reason mandatory for overrides; availability and overlap check; status-transition rules; cancellation policy</t>
        </is>
      </c>
      <c r="U22" s="12" t="inlineStr">
        <is>
          <t>Authorized users can complete the primary transport and transfers workflow; invalid or conflicting actions are blocked with clear messages; saved changes appear in related screens; sensitive changes are auditable.</t>
        </is>
      </c>
      <c r="V22" s="12" t="inlineStr">
        <is>
          <t>RBAC, tenant and property isolation, server-side authorization, audit event for create/update/delete/override</t>
        </is>
      </c>
      <c r="W22" s="12" t="n"/>
      <c r="X22" s="14" t="n"/>
      <c r="Y22" s="14" t="n"/>
      <c r="Z22" s="12" t="n"/>
    </row>
    <row r="23" ht="70" customHeight="1" s="43">
      <c r="A23" s="10" t="n">
        <v>86</v>
      </c>
      <c r="B23" s="11" t="inlineStr">
        <is>
          <t>SCR-019</t>
        </is>
      </c>
      <c r="C23" s="12" t="inlineStr">
        <is>
          <t>Completed</t>
        </is>
      </c>
      <c r="D23" s="12" t="inlineStr">
        <is>
          <t>Maintenance</t>
        </is>
      </c>
      <c r="E23" s="12" t="inlineStr">
        <is>
          <t>Work Orders</t>
        </is>
      </c>
      <c r="F23" s="12" t="inlineStr">
        <is>
          <t>Maintenance Work Orders</t>
        </is>
      </c>
      <c r="G23" s="12" t="inlineStr">
        <is>
          <t>Enable maintenance users to manage work orders through the Maintenance Work Orders workflow with real-time status, validations and traceability.</t>
        </is>
      </c>
      <c r="H2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23" s="12" t="inlineStr">
        <is>
          <t>List, search, filter, view, create, edit, cancel/delete where allowed, export, audit</t>
        </is>
      </c>
      <c r="J23" s="12" t="inlineStr">
        <is>
          <t>Engineering Manager / Technician</t>
        </is>
      </c>
      <c r="K23" s="12" t="inlineStr">
        <is>
          <t>Should Have</t>
        </is>
      </c>
      <c r="L23" s="12" t="inlineStr">
        <is>
          <t>8. Maintenance &amp; Asset Operations</t>
        </is>
      </c>
      <c r="M23" s="12" t="inlineStr">
        <is>
          <t>S16</t>
        </is>
      </c>
      <c r="N23" s="12" t="inlineStr">
        <is>
          <t>Not Started</t>
        </is>
      </c>
      <c r="O23" s="13">
        <f>IF(N23="Done",1,IF(N23="QA",0.9,IF(N23="Integration",0.75,IF(N23="Frontend",0.55,IF(N23="Backend",0.35,IF(N23="UX/UI",0.1,0))))))</f>
        <v/>
      </c>
      <c r="P23" s="12" t="inlineStr">
        <is>
          <t>Rooms, Inventory, Workforce</t>
        </is>
      </c>
      <c r="Q23" s="12" t="inlineStr">
        <is>
          <t>Responsive desktop/tablet UI; loading, empty, error and permission states; filters; form validation; accessible interactions</t>
        </is>
      </c>
      <c r="R23" s="12" t="inlineStr">
        <is>
          <t>GET, POST, PUT/PATCH, DELETE /api/v1/maintenance-work-orders; lookup, validation and audit endpoints; idempotency for financial/booking writes</t>
        </is>
      </c>
      <c r="S23" s="12" t="inlineStr">
        <is>
          <t>assets, maintenance_work_orders, preventive_plans</t>
        </is>
      </c>
      <c r="T23" s="12" t="inlineStr">
        <is>
          <t>Tenant/property scope; required fields; optimistic locking; timezone-safe dates; reason mandatory for overrides; valid status transition; linked-record integrity</t>
        </is>
      </c>
      <c r="U23" s="12" t="inlineStr">
        <is>
          <t>Authorized users can complete the primary maintenance work orders workflow; invalid or conflicting actions are blocked with clear messages; saved changes appear in related screens; sensitive changes are auditable.</t>
        </is>
      </c>
      <c r="V23" s="12" t="inlineStr">
        <is>
          <t>RBAC, tenant and property isolation, server-side authorization, audit event for create/update/delete/override</t>
        </is>
      </c>
      <c r="W23" s="12" t="n"/>
      <c r="X23" s="14" t="n"/>
      <c r="Y23" s="14" t="n"/>
      <c r="Z23" s="12" t="n"/>
    </row>
    <row r="24" ht="70" customHeight="1" s="43">
      <c r="A24" s="10" t="n">
        <v>76</v>
      </c>
      <c r="B24" s="11" t="inlineStr">
        <is>
          <t>SCR-020</t>
        </is>
      </c>
      <c r="C24" s="12" t="inlineStr">
        <is>
          <t>Completed</t>
        </is>
      </c>
      <c r="D24" s="12" t="inlineStr">
        <is>
          <t>Inventory</t>
        </is>
      </c>
      <c r="E24" s="12" t="inlineStr">
        <is>
          <t>Stock Operations</t>
        </is>
      </c>
      <c r="F24" s="12" t="inlineStr">
        <is>
          <t>Inventory Management</t>
        </is>
      </c>
      <c r="G24" s="12" t="inlineStr">
        <is>
          <t>Enable inventory users to manage stock operations through the Inventory Management workflow with real-time status, validations and traceability.</t>
        </is>
      </c>
      <c r="H24"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24" s="12" t="inlineStr">
        <is>
          <t>List, view, create, edit, activate/deactivate, delete where safe, audit</t>
        </is>
      </c>
      <c r="J24" s="12" t="inlineStr">
        <is>
          <t>Store Manager / Storekeeper / Department Heads</t>
        </is>
      </c>
      <c r="K24" s="12" t="inlineStr">
        <is>
          <t>Should Have</t>
        </is>
      </c>
      <c r="L24" s="12" t="inlineStr">
        <is>
          <t>7. Inventory &amp; Procurement</t>
        </is>
      </c>
      <c r="M24" s="12" t="inlineStr">
        <is>
          <t>S14-S15</t>
        </is>
      </c>
      <c r="N24" s="12" t="inlineStr">
        <is>
          <t>Not Started</t>
        </is>
      </c>
      <c r="O24" s="13">
        <f>IF(N24="Done",1,IF(N24="QA",0.9,IF(N24="Integration",0.75,IF(N24="Frontend",0.55,IF(N24="Backend",0.35,IF(N24="UX/UI",0.1,0))))))</f>
        <v/>
      </c>
      <c r="P24" s="12" t="inlineStr">
        <is>
          <t>Purchasing, POS, Maintenance</t>
        </is>
      </c>
      <c r="Q24" s="12" t="inlineStr">
        <is>
          <t>Responsive desktop/tablet UI; loading, empty, error and permission states; filters; form validation; accessible interactions</t>
        </is>
      </c>
      <c r="R24" s="12" t="inlineStr">
        <is>
          <t>GET, POST, PUT/PATCH, DELETE /api/v1/inventory-management; lookup, validation and audit endpoints; idempotency for financial/booking writes</t>
        </is>
      </c>
      <c r="S24" s="12" t="inlineStr">
        <is>
          <t>inventory_items, warehouses, stock_ledger, stock_adjustments</t>
        </is>
      </c>
      <c r="T24" s="12" t="inlineStr">
        <is>
          <t>Tenant/property scope; required fields; optimistic locking; timezone-safe dates; reason mandatory for overrides; valid status transition; linked-record integrity</t>
        </is>
      </c>
      <c r="U24" s="12" t="inlineStr">
        <is>
          <t>Authorized users can complete the primary inventory management workflow; invalid or conflicting actions are blocked with clear messages; saved changes appear in related screens; sensitive changes are auditable.</t>
        </is>
      </c>
      <c r="V24" s="12" t="inlineStr">
        <is>
          <t>RBAC, tenant and property isolation, server-side authorization, audit event for create/update/delete/override</t>
        </is>
      </c>
      <c r="W24" s="12" t="n"/>
      <c r="X24" s="14" t="n"/>
      <c r="Y24" s="14" t="n"/>
      <c r="Z24" s="12" t="n"/>
    </row>
    <row r="25" ht="70" customHeight="1" s="43">
      <c r="A25" s="10" t="n">
        <v>109</v>
      </c>
      <c r="B25" s="11" t="inlineStr">
        <is>
          <t>SCR-021</t>
        </is>
      </c>
      <c r="C25" s="12" t="inlineStr">
        <is>
          <t>Completed</t>
        </is>
      </c>
      <c r="D25" s="12" t="inlineStr">
        <is>
          <t>Workforce</t>
        </is>
      </c>
      <c r="E25" s="12" t="inlineStr">
        <is>
          <t>Roster</t>
        </is>
      </c>
      <c r="F25" s="12" t="inlineStr">
        <is>
          <t>Staff and Shift Roster</t>
        </is>
      </c>
      <c r="G25" s="12" t="inlineStr">
        <is>
          <t>Enable workforce users to manage roster through the Staff and Shift Roster workflow with real-time status, validations and traceability.</t>
        </is>
      </c>
      <c r="H25" s="12" t="inlineStr">
        <is>
          <t>Provide role-aware view timeline, filter, create, assign, reschedule, conflict-check, cancel; support search and filters; validate mandatory fields and business conflicts; persist changes atomically; refresh related availability, balances or task status; record user, timestamp and reason for sensitive changes.</t>
        </is>
      </c>
      <c r="I25" s="12" t="inlineStr">
        <is>
          <t>View timeline, filter, create, assign, reschedule, conflict-check, cancel</t>
        </is>
      </c>
      <c r="J25" s="12" t="inlineStr">
        <is>
          <t>HR Manager / Department Manager / Employee</t>
        </is>
      </c>
      <c r="K25" s="12" t="inlineStr">
        <is>
          <t>Could Have</t>
        </is>
      </c>
      <c r="L25" s="12" t="inlineStr">
        <is>
          <t>10. Workforce, Finance &amp; Analytics</t>
        </is>
      </c>
      <c r="M25" s="12" t="inlineStr">
        <is>
          <t>S20-S22</t>
        </is>
      </c>
      <c r="N25" s="12" t="inlineStr">
        <is>
          <t>Not Started</t>
        </is>
      </c>
      <c r="O25" s="13">
        <f>IF(N25="Done",1,IF(N25="QA",0.9,IF(N25="Integration",0.75,IF(N25="Frontend",0.55,IF(N25="Backend",0.35,IF(N25="UX/UI",0.1,0))))))</f>
        <v/>
      </c>
      <c r="P25" s="12" t="inlineStr">
        <is>
          <t>Administration</t>
        </is>
      </c>
      <c r="Q25" s="12" t="inlineStr">
        <is>
          <t>Responsive desktop/tablet UI; loading, empty, error and permission states; filters; form validation; accessible interactions</t>
        </is>
      </c>
      <c r="R25" s="12" t="inlineStr">
        <is>
          <t>GET, POST, PUT/PATCH, DELETE /api/v1/staff-and-shift-roster; lookup, validation and audit endpoints; idempotency for financial/booking writes</t>
        </is>
      </c>
      <c r="S25" s="12" t="inlineStr">
        <is>
          <t>employees, shifts, rosters, attendance, leave_requests</t>
        </is>
      </c>
      <c r="T25" s="12" t="inlineStr">
        <is>
          <t>Tenant/property scope; required fields; optimistic locking; timezone-safe dates; reason mandatory for overrides; valid status transition; linked-record integrity</t>
        </is>
      </c>
      <c r="U25" s="12" t="inlineStr">
        <is>
          <t>Authorized users can complete the primary staff and shift roster workflow; invalid or conflicting actions are blocked with clear messages; saved changes appear in related screens; sensitive changes are auditable.</t>
        </is>
      </c>
      <c r="V25" s="12" t="inlineStr">
        <is>
          <t>RBAC, tenant and property isolation, server-side authorization, audit event for create/update/delete/override</t>
        </is>
      </c>
      <c r="W25" s="12" t="n"/>
      <c r="X25" s="14" t="n"/>
      <c r="Y25" s="14" t="n"/>
      <c r="Z25" s="12" t="n"/>
    </row>
    <row r="26" ht="70" customHeight="1" s="43">
      <c r="A26" s="10" t="n">
        <v>110</v>
      </c>
      <c r="B26" s="11" t="inlineStr">
        <is>
          <t>SCR-022</t>
        </is>
      </c>
      <c r="C26" s="12" t="inlineStr">
        <is>
          <t>Completed</t>
        </is>
      </c>
      <c r="D26" s="12" t="inlineStr">
        <is>
          <t>Finance</t>
        </is>
      </c>
      <c r="E26" s="12" t="inlineStr">
        <is>
          <t>Audit &amp; Close</t>
        </is>
      </c>
      <c r="F26" s="12" t="inlineStr">
        <is>
          <t>Finance and Night Audit</t>
        </is>
      </c>
      <c r="G26" s="12" t="inlineStr">
        <is>
          <t>Enable finance users to manage audit &amp; close through the Finance and Night Audit workflow with real-time status, validations and traceability.</t>
        </is>
      </c>
      <c r="H2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26" s="12" t="inlineStr">
        <is>
          <t>List, search, filter, view, create, edit, cancel/delete where allowed, export, audit</t>
        </is>
      </c>
      <c r="J26" s="12" t="inlineStr">
        <is>
          <t>Finance Manager / Night Auditor / Cashier</t>
        </is>
      </c>
      <c r="K26" s="12" t="inlineStr">
        <is>
          <t>Must Have</t>
        </is>
      </c>
      <c r="L26" s="12" t="inlineStr">
        <is>
          <t>10. Workforce, Finance &amp; Analytics</t>
        </is>
      </c>
      <c r="M26" s="12" t="inlineStr">
        <is>
          <t>S20-S22</t>
        </is>
      </c>
      <c r="N26" s="12" t="inlineStr">
        <is>
          <t>Not Started</t>
        </is>
      </c>
      <c r="O26" s="13">
        <f>IF(N26="Done",1,IF(N26="QA",0.9,IF(N26="Integration",0.75,IF(N26="Frontend",0.55,IF(N26="Backend",0.35,IF(N26="UX/UI",0.1,0))))))</f>
        <v/>
      </c>
      <c r="P26" s="12" t="inlineStr">
        <is>
          <t>All revenue modules</t>
        </is>
      </c>
      <c r="Q26" s="12" t="inlineStr">
        <is>
          <t>Responsive desktop/tablet UI; loading, empty, error and permission states; filters; form validation; accessible interactions</t>
        </is>
      </c>
      <c r="R26" s="12" t="inlineStr">
        <is>
          <t>GET, POST, PUT/PATCH, DELETE /api/v1/finance-and-night-audit; lookup, validation and audit endpoints; idempotency for financial/booking writes</t>
        </is>
      </c>
      <c r="S26" s="12" t="inlineStr">
        <is>
          <t>folios, payments, refunds, invoices, credit_notes, cash_drawers, taxes, receivables</t>
        </is>
      </c>
      <c r="T26" s="12" t="inlineStr">
        <is>
          <t>Tenant/property scope; required fields; optimistic locking; timezone-safe dates; reason mandatory for overrides; currency precision; tax/rate totals; approval limit; no unbalanced or duplicate posting</t>
        </is>
      </c>
      <c r="U26" s="12" t="inlineStr">
        <is>
          <t>Authorized users can complete the primary finance and night audit workflow; invalid or conflicting actions are blocked with clear messages; saved changes appear in related screens; sensitive changes are auditable.</t>
        </is>
      </c>
      <c r="V26" s="12" t="inlineStr">
        <is>
          <t>RBAC, tenant and property isolation, server-side authorization, audit event for create/update/delete/override; field masking and approval/audit evidence required</t>
        </is>
      </c>
      <c r="W26" s="12" t="n"/>
      <c r="X26" s="14" t="n"/>
      <c r="Y26" s="14" t="n"/>
      <c r="Z26" s="12" t="n"/>
    </row>
    <row r="27" ht="70" customHeight="1" s="43">
      <c r="A27" s="10" t="n">
        <v>77</v>
      </c>
      <c r="B27" s="11" t="inlineStr">
        <is>
          <t>SCR-023</t>
        </is>
      </c>
      <c r="C27" s="12" t="inlineStr">
        <is>
          <t>Completed</t>
        </is>
      </c>
      <c r="D27" s="12" t="inlineStr">
        <is>
          <t>Purchasing</t>
        </is>
      </c>
      <c r="E27" s="12" t="inlineStr">
        <is>
          <t>Procurement Control</t>
        </is>
      </c>
      <c r="F27" s="12" t="inlineStr">
        <is>
          <t>Purchasing and Vendor Approvals</t>
        </is>
      </c>
      <c r="G27" s="12" t="inlineStr">
        <is>
          <t>Enable purchasing users to manage procurement control through the Purchasing and Vendor Approvals workflow with real-time status, validations and traceability.</t>
        </is>
      </c>
      <c r="H27" s="12" t="inlineStr">
        <is>
          <t>Provide role-aware view, approve, reject, comment, escalate, audit; support search and filters; validate mandatory fields and business conflicts; persist changes atomically; refresh related availability, balances or task status; record user, timestamp and reason for sensitive changes.</t>
        </is>
      </c>
      <c r="I27" s="12" t="inlineStr">
        <is>
          <t>View, approve, reject, comment, escalate, audit</t>
        </is>
      </c>
      <c r="J27" s="12" t="inlineStr">
        <is>
          <t>Purchase Manager / Approver / Storekeeper</t>
        </is>
      </c>
      <c r="K27" s="12" t="inlineStr">
        <is>
          <t>Should Have</t>
        </is>
      </c>
      <c r="L27" s="12" t="inlineStr">
        <is>
          <t>7. Inventory &amp; Procurement</t>
        </is>
      </c>
      <c r="M27" s="12" t="inlineStr">
        <is>
          <t>S14-S15</t>
        </is>
      </c>
      <c r="N27" s="12" t="inlineStr">
        <is>
          <t>Not Started</t>
        </is>
      </c>
      <c r="O27" s="13">
        <f>IF(N27="Done",1,IF(N27="QA",0.9,IF(N27="Integration",0.75,IF(N27="Frontend",0.55,IF(N27="Backend",0.35,IF(N27="UX/UI",0.1,0))))))</f>
        <v/>
      </c>
      <c r="P27" s="12" t="inlineStr">
        <is>
          <t>Inventory, Finance, Approvals</t>
        </is>
      </c>
      <c r="Q27" s="12" t="inlineStr">
        <is>
          <t>Responsive desktop/tablet UI; loading, empty, error and permission states; filters; form validation; accessible interactions</t>
        </is>
      </c>
      <c r="R27" s="12" t="inlineStr">
        <is>
          <t>GET, POST/PATCH /api/v1/purchasing-and-vendor-approvals; lookup, validation and audit endpoints; idempotency for financial/booking writes</t>
        </is>
      </c>
      <c r="S27" s="12" t="inlineStr">
        <is>
          <t>suppliers, requisitions, purchase_orders, goods_receipts, supplier_returns</t>
        </is>
      </c>
      <c r="T27" s="12" t="inlineStr">
        <is>
          <t>Tenant/property scope; required fields; optimistic locking; timezone-safe dates; reason mandatory for overrides; currency precision; tax/rate totals; approval limit; no unbalanced or duplicate posting</t>
        </is>
      </c>
      <c r="U27" s="12" t="inlineStr">
        <is>
          <t>Authorized users can complete the primary purchasing and vendor approvals workflow; invalid or conflicting actions are blocked with clear messages; saved changes appear in related screens; sensitive changes are auditable.</t>
        </is>
      </c>
      <c r="V27" s="12" t="inlineStr">
        <is>
          <t>RBAC, tenant and property isolation, server-side authorization, audit event for create/update/delete/override</t>
        </is>
      </c>
      <c r="W27" s="12" t="n"/>
      <c r="X27" s="14" t="n"/>
      <c r="Y27" s="14" t="n"/>
      <c r="Z27" s="12" t="n"/>
    </row>
    <row r="28" ht="70" customHeight="1" s="43">
      <c r="A28" s="10" t="n">
        <v>18</v>
      </c>
      <c r="B28" s="11" t="inlineStr">
        <is>
          <t>SCR-024</t>
        </is>
      </c>
      <c r="C28" s="12" t="inlineStr">
        <is>
          <t>Completed</t>
        </is>
      </c>
      <c r="D28" s="12" t="inlineStr">
        <is>
          <t>Distribution</t>
        </is>
      </c>
      <c r="E28" s="12" t="inlineStr">
        <is>
          <t>Channel Manager</t>
        </is>
      </c>
      <c r="F28" s="12" t="inlineStr">
        <is>
          <t>Channel Manager</t>
        </is>
      </c>
      <c r="G28" s="12" t="inlineStr">
        <is>
          <t>Enable distribution users to manage channel manager through the Channel Manager workflow with real-time status, validations and traceability.</t>
        </is>
      </c>
      <c r="H2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28" s="12" t="inlineStr">
        <is>
          <t>List, search, filter, view, create, edit, cancel/delete where allowed, export, audit</t>
        </is>
      </c>
      <c r="J28" s="12" t="inlineStr">
        <is>
          <t>Revenue Manager / Channel Manager</t>
        </is>
      </c>
      <c r="K28" s="12" t="inlineStr">
        <is>
          <t>Must Have</t>
        </is>
      </c>
      <c r="L28" s="12" t="inlineStr">
        <is>
          <t>2. Inventory, Rates &amp; Distribution Foundation</t>
        </is>
      </c>
      <c r="M28" s="12" t="inlineStr">
        <is>
          <t>S03-S04</t>
        </is>
      </c>
      <c r="N28" s="12" t="inlineStr">
        <is>
          <t>Not Started</t>
        </is>
      </c>
      <c r="O28" s="13">
        <f>IF(N28="Done",1,IF(N28="QA",0.9,IF(N28="Integration",0.75,IF(N28="Frontend",0.55,IF(N28="Backend",0.35,IF(N28="UX/UI",0.1,0))))))</f>
        <v/>
      </c>
      <c r="P28" s="12" t="inlineStr">
        <is>
          <t>Rates, Rooms, Reservations</t>
        </is>
      </c>
      <c r="Q28" s="12" t="inlineStr">
        <is>
          <t>Responsive desktop/tablet UI; loading, empty, error and permission states; filters; form validation; accessible interactions</t>
        </is>
      </c>
      <c r="R28" s="12" t="inlineStr">
        <is>
          <t>GET, POST, PUT/PATCH, DELETE /api/v1/channel-manager; lookup, validation and audit endpoints; idempotency for financial/booking writes</t>
        </is>
      </c>
      <c r="S28" s="12" t="inlineStr">
        <is>
          <t>channels, channel_mappings, sync_jobs, restrictions</t>
        </is>
      </c>
      <c r="T28" s="12" t="inlineStr">
        <is>
          <t>Tenant/property scope; required fields; optimistic locking; timezone-safe dates; reason mandatory for overrides; valid status transition; linked-record integrity</t>
        </is>
      </c>
      <c r="U28" s="12" t="inlineStr">
        <is>
          <t>Authorized users can complete the primary channel manager workflow; invalid or conflicting actions are blocked with clear messages; saved changes appear in related screens; sensitive changes are auditable.</t>
        </is>
      </c>
      <c r="V28" s="12" t="inlineStr">
        <is>
          <t>RBAC, tenant and property isolation, server-side authorization, audit event for create/update/delete/override</t>
        </is>
      </c>
      <c r="W28" s="12" t="n"/>
      <c r="X28" s="14" t="n"/>
      <c r="Y28" s="14" t="n"/>
      <c r="Z28" s="12" t="n"/>
    </row>
    <row r="29" ht="70" customHeight="1" s="43">
      <c r="A29" s="10" t="n">
        <v>50</v>
      </c>
      <c r="B29" s="11" t="inlineStr">
        <is>
          <t>SCR-025</t>
        </is>
      </c>
      <c r="C29" s="12" t="inlineStr">
        <is>
          <t>Completed</t>
        </is>
      </c>
      <c r="D29" s="12" t="inlineStr">
        <is>
          <t>Guest CRM</t>
        </is>
      </c>
      <c r="E29" s="12" t="inlineStr">
        <is>
          <t>CRM Dashboard</t>
        </is>
      </c>
      <c r="F29" s="12" t="inlineStr">
        <is>
          <t>Guest CRM Dashboard</t>
        </is>
      </c>
      <c r="G29" s="12" t="inlineStr">
        <is>
          <t>Enable guest crm users to manage crm dashboard through the Guest CRM Dashboard workflow with real-time status, validations and traceability.</t>
        </is>
      </c>
      <c r="H29" s="12" t="inlineStr">
        <is>
          <t>Provide role-aware view, filter, search, drill down, export, refresh; support search and filters; validate mandatory fields and business conflicts; persist changes atomically; refresh related availability, balances or task status; record user, timestamp and reason for sensitive changes.</t>
        </is>
      </c>
      <c r="I29" s="12" t="inlineStr">
        <is>
          <t>View, filter, search, drill down, export, refresh</t>
        </is>
      </c>
      <c r="J29" s="12" t="inlineStr">
        <is>
          <t>CRM Manager / Front Desk / Reservations</t>
        </is>
      </c>
      <c r="K29" s="12" t="inlineStr">
        <is>
          <t>Should Have</t>
        </is>
      </c>
      <c r="L29" s="12" t="inlineStr">
        <is>
          <t>4. Guest CRM, Privacy &amp; Communications</t>
        </is>
      </c>
      <c r="M29" s="12" t="inlineStr">
        <is>
          <t>S08-S09</t>
        </is>
      </c>
      <c r="N29" s="12" t="inlineStr">
        <is>
          <t>Not Started</t>
        </is>
      </c>
      <c r="O29" s="13">
        <f>IF(N29="Done",1,IF(N29="QA",0.9,IF(N29="Integration",0.75,IF(N29="Frontend",0.55,IF(N29="Backend",0.35,IF(N29="UX/UI",0.1,0))))))</f>
        <v/>
      </c>
      <c r="P29" s="12" t="inlineStr">
        <is>
          <t>Reservations, Communications</t>
        </is>
      </c>
      <c r="Q29" s="12" t="inlineStr">
        <is>
          <t>Responsive desktop/tablet UI; loading, empty, error and permission states; filters; form validation; accessible interactions</t>
        </is>
      </c>
      <c r="R29" s="12" t="inlineStr">
        <is>
          <t>GET, POST/PATCH /api/v1/guest-crm-dashboard; lookup, validation and audit endpoints; idempotency for financial/booking writes</t>
        </is>
      </c>
      <c r="S29" s="12" t="inlineStr">
        <is>
          <t>guests, guest_preferences, consents, documents, loyalty_accounts</t>
        </is>
      </c>
      <c r="T29" s="12" t="inlineStr">
        <is>
          <t>Tenant/property scope; required fields; optimistic locking; timezone-safe dates; reason mandatory for overrides; duplicate detection; consent and retention policy; sensitive document masking</t>
        </is>
      </c>
      <c r="U29" s="12" t="inlineStr">
        <is>
          <t>Authorized users can complete the primary guest crm dashboard workflow; invalid or conflicting actions are blocked with clear messages; saved changes appear in related screens; sensitive changes are auditable.</t>
        </is>
      </c>
      <c r="V29" s="12" t="inlineStr">
        <is>
          <t>RBAC, tenant and property isolation, server-side authorization, audit event for create/update/delete/override; field masking and approval/audit evidence required</t>
        </is>
      </c>
      <c r="W29" s="12" t="n"/>
      <c r="X29" s="14" t="n"/>
      <c r="Y29" s="14" t="n"/>
      <c r="Z29" s="12" t="n"/>
    </row>
    <row r="30" ht="70" customHeight="1" s="43">
      <c r="A30" s="10" t="n">
        <v>1</v>
      </c>
      <c r="B30" s="11" t="inlineStr">
        <is>
          <t>SCR-026</t>
        </is>
      </c>
      <c r="C30" s="12" t="inlineStr">
        <is>
          <t>Completed</t>
        </is>
      </c>
      <c r="D30" s="12" t="inlineStr">
        <is>
          <t>Administration</t>
        </is>
      </c>
      <c r="E30" s="12" t="inlineStr">
        <is>
          <t>Property Configuration</t>
        </is>
      </c>
      <c r="F30" s="12" t="inlineStr">
        <is>
          <t>Property Settings</t>
        </is>
      </c>
      <c r="G30" s="12" t="inlineStr">
        <is>
          <t>Enable administration users to manage property configuration through the Property Settings workflow with real-time status, validations and traceability.</t>
        </is>
      </c>
      <c r="H3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0" s="12" t="inlineStr">
        <is>
          <t>List, search, filter, view, create, edit, cancel/delete where allowed, export, audit</t>
        </is>
      </c>
      <c r="J30" s="12" t="inlineStr">
        <is>
          <t>System Admin / Property Admin / Auditor</t>
        </is>
      </c>
      <c r="K30" s="12" t="inlineStr">
        <is>
          <t>Must Have</t>
        </is>
      </c>
      <c r="L30" s="12" t="inlineStr">
        <is>
          <t>1. Core Platform, Security &amp; Masters</t>
        </is>
      </c>
      <c r="M30" s="12" t="inlineStr">
        <is>
          <t>S01-S02</t>
        </is>
      </c>
      <c r="N30" s="12" t="inlineStr">
        <is>
          <t>Not Started</t>
        </is>
      </c>
      <c r="O30" s="13">
        <f>IF(N30="Done",1,IF(N30="QA",0.9,IF(N30="Integration",0.75,IF(N30="Frontend",0.55,IF(N30="Backend",0.35,IF(N30="UX/UI",0.1,0))))))</f>
        <v/>
      </c>
      <c r="P30" s="12" t="inlineStr">
        <is>
          <t>Platform</t>
        </is>
      </c>
      <c r="Q30" s="12" t="inlineStr">
        <is>
          <t>Responsive desktop/tablet UI; loading, empty, error and permission states; filters; form validation; accessible interactions</t>
        </is>
      </c>
      <c r="R30" s="12" t="inlineStr">
        <is>
          <t>GET, POST, PUT/PATCH, DELETE /api/v1/property-settings; lookup, validation and audit endpoints; idempotency for financial/booking writes</t>
        </is>
      </c>
      <c r="S30" s="12" t="inlineStr">
        <is>
          <t>users, roles, permissions, approvals, audit_logs, templates, import_jobs</t>
        </is>
      </c>
      <c r="T30" s="12" t="inlineStr">
        <is>
          <t>Tenant/property scope; required fields; optimistic locking; timezone-safe dates; reason mandatory for overrides; least privilege; secret masking; versioning; change approval</t>
        </is>
      </c>
      <c r="U30" s="12" t="inlineStr">
        <is>
          <t>Authorized users can complete the primary property settings workflow; invalid or conflicting actions are blocked with clear messages; saved changes appear in related screens; sensitive changes are auditable.</t>
        </is>
      </c>
      <c r="V30" s="12" t="inlineStr">
        <is>
          <t>RBAC, tenant and property isolation, server-side authorization, audit event for create/update/delete/override; field masking and approval/audit evidence required</t>
        </is>
      </c>
      <c r="W30" s="12" t="n"/>
      <c r="X30" s="14" t="n"/>
      <c r="Y30" s="14" t="n"/>
      <c r="Z30" s="12" t="n"/>
    </row>
    <row r="31" ht="70" customHeight="1" s="43">
      <c r="A31" s="10" t="n">
        <v>111</v>
      </c>
      <c r="B31" s="11" t="inlineStr">
        <is>
          <t>SCR-027</t>
        </is>
      </c>
      <c r="C31" s="12" t="inlineStr">
        <is>
          <t>Completed</t>
        </is>
      </c>
      <c r="D31" s="12" t="inlineStr">
        <is>
          <t>Analytics</t>
        </is>
      </c>
      <c r="E31" s="12" t="inlineStr">
        <is>
          <t>Management Reports</t>
        </is>
      </c>
      <c r="F31" s="12" t="inlineStr">
        <is>
          <t>Reports Dashboard</t>
        </is>
      </c>
      <c r="G31" s="12" t="inlineStr">
        <is>
          <t>Enable analytics users to manage management reports through the Reports Dashboard workflow with real-time status, validations and traceability.</t>
        </is>
      </c>
      <c r="H31" s="12" t="inlineStr">
        <is>
          <t>Provide role-aware view, filter, search, drill down, export, refresh; support search and filters; validate mandatory fields and business conflicts; persist changes atomically; refresh related availability, balances or task status; record user, timestamp and reason for sensitive changes.</t>
        </is>
      </c>
      <c r="I31" s="12" t="inlineStr">
        <is>
          <t>View, filter, search, drill down, export, refresh</t>
        </is>
      </c>
      <c r="J31" s="12" t="inlineStr">
        <is>
          <t>Owner / GM / Finance / Department Heads</t>
        </is>
      </c>
      <c r="K31" s="12" t="inlineStr">
        <is>
          <t>Must Have</t>
        </is>
      </c>
      <c r="L31" s="12" t="inlineStr">
        <is>
          <t>10. Workforce, Finance &amp; Analytics</t>
        </is>
      </c>
      <c r="M31" s="12" t="inlineStr">
        <is>
          <t>S20-S22</t>
        </is>
      </c>
      <c r="N31" s="12" t="inlineStr">
        <is>
          <t>Not Started</t>
        </is>
      </c>
      <c r="O31" s="13">
        <f>IF(N31="Done",1,IF(N31="QA",0.9,IF(N31="Integration",0.75,IF(N31="Frontend",0.55,IF(N31="Backend",0.35,IF(N31="UX/UI",0.1,0))))))</f>
        <v/>
      </c>
      <c r="P31" s="12" t="inlineStr">
        <is>
          <t>All operational modules</t>
        </is>
      </c>
      <c r="Q31" s="12" t="inlineStr">
        <is>
          <t>Responsive desktop/tablet UI; loading, empty, error and permission states; filters; form validation; accessible interactions</t>
        </is>
      </c>
      <c r="R31" s="12" t="inlineStr">
        <is>
          <t>GET, POST/PATCH /api/v1/reports-dashboard; lookup, validation and audit endpoints; idempotency for financial/booking writes</t>
        </is>
      </c>
      <c r="S31" s="12" t="inlineStr">
        <is>
          <t>report_definitions, report_runs, metric_snapshots</t>
        </is>
      </c>
      <c r="T31" s="12" t="inlineStr">
        <is>
          <t>Tenant/property scope; required fields; optimistic locking; timezone-safe dates; reason mandatory for overrides; valid status transition; linked-record integrity</t>
        </is>
      </c>
      <c r="U31" s="12" t="inlineStr">
        <is>
          <t>Authorized users can complete the primary reports dashboard workflow; invalid or conflicting actions are blocked with clear messages; saved changes appear in related screens; sensitive changes are auditable.</t>
        </is>
      </c>
      <c r="V31" s="12" t="inlineStr">
        <is>
          <t>RBAC, tenant and property isolation, server-side authorization, audit event for create/update/delete/override</t>
        </is>
      </c>
      <c r="W31" s="12" t="n"/>
      <c r="X31" s="14" t="n"/>
      <c r="Y31" s="14" t="n"/>
      <c r="Z31" s="12" t="n"/>
    </row>
    <row r="32" ht="70" customHeight="1" s="43">
      <c r="A32" s="10" t="n">
        <v>32</v>
      </c>
      <c r="B32" s="11" t="inlineStr">
        <is>
          <t>SCR-028</t>
        </is>
      </c>
      <c r="C32" s="12" t="inlineStr">
        <is>
          <t>Completed</t>
        </is>
      </c>
      <c r="D32" s="12" t="inlineStr">
        <is>
          <t>Reservations</t>
        </is>
      </c>
      <c r="E32" s="12" t="inlineStr">
        <is>
          <t>Booking Details</t>
        </is>
      </c>
      <c r="F32" s="12" t="inlineStr">
        <is>
          <t>Reservation Details</t>
        </is>
      </c>
      <c r="G32" s="12" t="inlineStr">
        <is>
          <t>Enable reservations users to manage booking details through the Reservation Details workflow with real-time status, validations and traceability.</t>
        </is>
      </c>
      <c r="H3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2" s="12" t="inlineStr">
        <is>
          <t>List, search, filter, view, create, edit, cancel/delete where allowed, export, audit</t>
        </is>
      </c>
      <c r="J32" s="12" t="inlineStr">
        <is>
          <t>Reservation Manager / Agent / Front Desk</t>
        </is>
      </c>
      <c r="K32" s="12" t="inlineStr">
        <is>
          <t>Must Have</t>
        </is>
      </c>
      <c r="L32" s="12" t="inlineStr">
        <is>
          <t>3. Reservations, Groups &amp; Front Desk</t>
        </is>
      </c>
      <c r="M32" s="12" t="inlineStr">
        <is>
          <t>S05-S07</t>
        </is>
      </c>
      <c r="N32" s="12" t="inlineStr">
        <is>
          <t>Not Started</t>
        </is>
      </c>
      <c r="O32" s="13">
        <f>IF(N32="Done",1,IF(N32="QA",0.9,IF(N32="Integration",0.75,IF(N32="Frontend",0.55,IF(N32="Backend",0.35,IF(N32="UX/UI",0.1,0))))))</f>
        <v/>
      </c>
      <c r="P32" s="12" t="inlineStr">
        <is>
          <t>Rooms, Rates, Guests, Payments</t>
        </is>
      </c>
      <c r="Q32" s="12" t="inlineStr">
        <is>
          <t>Responsive desktop/tablet UI; loading, empty, error and permission states; filters; form validation; accessible interactions</t>
        </is>
      </c>
      <c r="R32" s="12" t="inlineStr">
        <is>
          <t>GET, POST, PUT/PATCH, DELETE /api/v1/reservation-details; lookup, validation and audit endpoints; idempotency for financial/booking writes</t>
        </is>
      </c>
      <c r="S32" s="12" t="inlineStr">
        <is>
          <t>reservations, reservation_guests, reservation_items, deposits</t>
        </is>
      </c>
      <c r="T32" s="12" t="inlineStr">
        <is>
          <t>Tenant/property scope; required fields; optimistic locking; timezone-safe dates; reason mandatory for overrides; availability and overlap check; status-transition rules; cancellation policy</t>
        </is>
      </c>
      <c r="U32" s="12" t="inlineStr">
        <is>
          <t>Authorized users can complete the primary reservation details workflow; invalid or conflicting actions are blocked with clear messages; saved changes appear in related screens; sensitive changes are auditable.</t>
        </is>
      </c>
      <c r="V32" s="12" t="inlineStr">
        <is>
          <t>RBAC, tenant and property isolation, server-side authorization, audit event for create/update/delete/override</t>
        </is>
      </c>
      <c r="W32" s="12" t="n"/>
      <c r="X32" s="14" t="n"/>
      <c r="Y32" s="14" t="n"/>
      <c r="Z32" s="12" t="n"/>
    </row>
    <row r="33" ht="70" customHeight="1" s="43">
      <c r="A33" s="10" t="n">
        <v>33</v>
      </c>
      <c r="B33" s="11" t="inlineStr">
        <is>
          <t>SCR-029</t>
        </is>
      </c>
      <c r="C33" s="12" t="inlineStr">
        <is>
          <t>Completed</t>
        </is>
      </c>
      <c r="D33" s="12" t="inlineStr">
        <is>
          <t>Reservations</t>
        </is>
      </c>
      <c r="E33" s="12" t="inlineStr">
        <is>
          <t>Booking Modification</t>
        </is>
      </c>
      <c r="F33" s="12" t="inlineStr">
        <is>
          <t>Modify or Cancel Reservation</t>
        </is>
      </c>
      <c r="G33" s="12" t="inlineStr">
        <is>
          <t>Enable reservations users to manage booking modification through the Modify or Cancel Reservation workflow with real-time status, validations and traceability.</t>
        </is>
      </c>
      <c r="H3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3" s="12" t="inlineStr">
        <is>
          <t>List, search, filter, view, create, edit, cancel/delete where allowed, export, audit</t>
        </is>
      </c>
      <c r="J33" s="12" t="inlineStr">
        <is>
          <t>Reservation Manager / Agent / Front Desk</t>
        </is>
      </c>
      <c r="K33" s="12" t="inlineStr">
        <is>
          <t>Must Have</t>
        </is>
      </c>
      <c r="L33" s="12" t="inlineStr">
        <is>
          <t>3. Reservations, Groups &amp; Front Desk</t>
        </is>
      </c>
      <c r="M33" s="12" t="inlineStr">
        <is>
          <t>S05-S07</t>
        </is>
      </c>
      <c r="N33" s="12" t="inlineStr">
        <is>
          <t>Not Started</t>
        </is>
      </c>
      <c r="O33" s="13">
        <f>IF(N33="Done",1,IF(N33="QA",0.9,IF(N33="Integration",0.75,IF(N33="Frontend",0.55,IF(N33="Backend",0.35,IF(N33="UX/UI",0.1,0))))))</f>
        <v/>
      </c>
      <c r="P33" s="12" t="inlineStr">
        <is>
          <t>Rooms, Rates, Guests, Payments</t>
        </is>
      </c>
      <c r="Q33" s="12" t="inlineStr">
        <is>
          <t>Responsive desktop/tablet UI; loading, empty, error and permission states; filters; form validation; accessible interactions</t>
        </is>
      </c>
      <c r="R33" s="12" t="inlineStr">
        <is>
          <t>GET, POST, PUT/PATCH, DELETE /api/v1/modify-or-cancel-reservation; lookup, validation and audit endpoints; idempotency for financial/booking writes</t>
        </is>
      </c>
      <c r="S33" s="12" t="inlineStr">
        <is>
          <t>reservations, reservation_guests, reservation_items, deposits</t>
        </is>
      </c>
      <c r="T33" s="12" t="inlineStr">
        <is>
          <t>Tenant/property scope; required fields; optimistic locking; timezone-safe dates; reason mandatory for overrides; availability and overlap check; status-transition rules; cancellation policy</t>
        </is>
      </c>
      <c r="U33" s="12" t="inlineStr">
        <is>
          <t>Authorized users can complete the primary modify or cancel reservation workflow; invalid or conflicting actions are blocked with clear messages; saved changes appear in related screens; sensitive changes are auditable.</t>
        </is>
      </c>
      <c r="V33" s="12" t="inlineStr">
        <is>
          <t>RBAC, tenant and property isolation, server-side authorization, audit event for create/update/delete/override</t>
        </is>
      </c>
      <c r="W33" s="12" t="n"/>
      <c r="X33" s="14" t="n"/>
      <c r="Y33" s="14" t="n"/>
      <c r="Z33" s="12" t="n"/>
    </row>
    <row r="34" ht="70" customHeight="1" s="43">
      <c r="A34" s="10" t="n">
        <v>34</v>
      </c>
      <c r="B34" s="11" t="inlineStr">
        <is>
          <t>SCR-030</t>
        </is>
      </c>
      <c r="C34" s="12" t="inlineStr">
        <is>
          <t>Completed</t>
        </is>
      </c>
      <c r="D34" s="12" t="inlineStr">
        <is>
          <t>Groups</t>
        </is>
      </c>
      <c r="E34" s="12" t="inlineStr">
        <is>
          <t>Group Booking</t>
        </is>
      </c>
      <c r="F34" s="12" t="inlineStr">
        <is>
          <t>Group Booking</t>
        </is>
      </c>
      <c r="G34" s="12" t="inlineStr">
        <is>
          <t>Enable groups users to manage group booking through the Group Booking workflow with real-time status, validations and traceability.</t>
        </is>
      </c>
      <c r="H34"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4" s="12" t="inlineStr">
        <is>
          <t>List, search, filter, view, create, edit, cancel/delete where allowed, export, audit</t>
        </is>
      </c>
      <c r="J34" s="12" t="inlineStr">
        <is>
          <t>Sales / Reservation Manager / Front Desk</t>
        </is>
      </c>
      <c r="K34" s="12" t="inlineStr">
        <is>
          <t>Must Have</t>
        </is>
      </c>
      <c r="L34" s="12" t="inlineStr">
        <is>
          <t>3. Reservations, Groups &amp; Front Desk</t>
        </is>
      </c>
      <c r="M34" s="12" t="inlineStr">
        <is>
          <t>S05-S07</t>
        </is>
      </c>
      <c r="N34" s="12" t="inlineStr">
        <is>
          <t>Not Started</t>
        </is>
      </c>
      <c r="O34" s="13">
        <f>IF(N34="Done",1,IF(N34="QA",0.9,IF(N34="Integration",0.75,IF(N34="Frontend",0.55,IF(N34="Backend",0.35,IF(N34="UX/UI",0.1,0))))))</f>
        <v/>
      </c>
      <c r="P34" s="12" t="inlineStr">
        <is>
          <t>Reservations, Rooms, Finance</t>
        </is>
      </c>
      <c r="Q34" s="12" t="inlineStr">
        <is>
          <t>Responsive desktop/tablet UI; loading, empty, error and permission states; filters; form validation; accessible interactions</t>
        </is>
      </c>
      <c r="R34" s="12" t="inlineStr">
        <is>
          <t>GET, POST, PUT/PATCH, DELETE /api/v1/group-booking; lookup, validation and audit endpoints; idempotency for financial/booking writes</t>
        </is>
      </c>
      <c r="S34" s="12" t="inlineStr">
        <is>
          <t>group_bookings, rooming_lists, group_blocks</t>
        </is>
      </c>
      <c r="T34" s="12" t="inlineStr">
        <is>
          <t>Tenant/property scope; required fields; optimistic locking; timezone-safe dates; reason mandatory for overrides; availability and overlap check; status-transition rules; cancellation policy</t>
        </is>
      </c>
      <c r="U34" s="12" t="inlineStr">
        <is>
          <t>Authorized users can complete the primary group booking workflow; invalid or conflicting actions are blocked with clear messages; saved changes appear in related screens; sensitive changes are auditable.</t>
        </is>
      </c>
      <c r="V34" s="12" t="inlineStr">
        <is>
          <t>RBAC, tenant and property isolation, server-side authorization, audit event for create/update/delete/override</t>
        </is>
      </c>
      <c r="W34" s="12" t="n"/>
      <c r="X34" s="14" t="n"/>
      <c r="Y34" s="14" t="n"/>
      <c r="Z34" s="12" t="n"/>
    </row>
    <row r="35" ht="70" customHeight="1" s="43">
      <c r="A35" s="10" t="n">
        <v>35</v>
      </c>
      <c r="B35" s="11" t="inlineStr">
        <is>
          <t>SCR-031</t>
        </is>
      </c>
      <c r="C35" s="12" t="inlineStr">
        <is>
          <t>Completed</t>
        </is>
      </c>
      <c r="D35" s="12" t="inlineStr">
        <is>
          <t>Groups</t>
        </is>
      </c>
      <c r="E35" s="12" t="inlineStr">
        <is>
          <t>Rooming &amp; Arrival</t>
        </is>
      </c>
      <c r="F35" s="12" t="inlineStr">
        <is>
          <t>Group Rooming List and Check-In</t>
        </is>
      </c>
      <c r="G35" s="12" t="inlineStr">
        <is>
          <t>Enable groups users to manage rooming &amp; arrival through the Group Rooming List and Check-In workflow with real-time status, validations and traceability.</t>
        </is>
      </c>
      <c r="H35"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5" s="12" t="inlineStr">
        <is>
          <t>List, search, filter, view, create, edit, cancel/delete where allowed, export, audit</t>
        </is>
      </c>
      <c r="J35" s="12" t="inlineStr">
        <is>
          <t>Sales / Reservation Manager / Front Desk</t>
        </is>
      </c>
      <c r="K35" s="12" t="inlineStr">
        <is>
          <t>Must Have</t>
        </is>
      </c>
      <c r="L35" s="12" t="inlineStr">
        <is>
          <t>3. Reservations, Groups &amp; Front Desk</t>
        </is>
      </c>
      <c r="M35" s="12" t="inlineStr">
        <is>
          <t>S05-S07</t>
        </is>
      </c>
      <c r="N35" s="12" t="inlineStr">
        <is>
          <t>Not Started</t>
        </is>
      </c>
      <c r="O35" s="13">
        <f>IF(N35="Done",1,IF(N35="QA",0.9,IF(N35="Integration",0.75,IF(N35="Frontend",0.55,IF(N35="Backend",0.35,IF(N35="UX/UI",0.1,0))))))</f>
        <v/>
      </c>
      <c r="P35" s="12" t="inlineStr">
        <is>
          <t>Reservations, Rooms, Finance</t>
        </is>
      </c>
      <c r="Q35" s="12" t="inlineStr">
        <is>
          <t>Responsive desktop/tablet UI; loading, empty, error and permission states; filters; form validation; accessible interactions</t>
        </is>
      </c>
      <c r="R35" s="12" t="inlineStr">
        <is>
          <t>GET, POST, PUT/PATCH, DELETE /api/v1/group-rooming-list-and-check-in; lookup, validation and audit endpoints; idempotency for financial/booking writes</t>
        </is>
      </c>
      <c r="S35" s="12" t="inlineStr">
        <is>
          <t>group_bookings, rooming_lists, group_blocks</t>
        </is>
      </c>
      <c r="T35" s="12" t="inlineStr">
        <is>
          <t>Tenant/property scope; required fields; optimistic locking; timezone-safe dates; reason mandatory for overrides; availability and overlap check; status-transition rules; cancellation policy</t>
        </is>
      </c>
      <c r="U35" s="12" t="inlineStr">
        <is>
          <t>Authorized users can complete the primary group rooming list and check-in workflow; invalid or conflicting actions are blocked with clear messages; saved changes appear in related screens; sensitive changes are auditable.</t>
        </is>
      </c>
      <c r="V35" s="12" t="inlineStr">
        <is>
          <t>RBAC, tenant and property isolation, server-side authorization, audit event for create/update/delete/override</t>
        </is>
      </c>
      <c r="W35" s="12" t="n"/>
      <c r="X35" s="14" t="n"/>
      <c r="Y35" s="14" t="n"/>
      <c r="Z35" s="12" t="n"/>
    </row>
    <row r="36" ht="70" customHeight="1" s="43">
      <c r="A36" s="10" t="n">
        <v>36</v>
      </c>
      <c r="B36" s="11" t="inlineStr">
        <is>
          <t>SCR-032</t>
        </is>
      </c>
      <c r="C36" s="12" t="inlineStr">
        <is>
          <t>Completed</t>
        </is>
      </c>
      <c r="D36" s="12" t="inlineStr">
        <is>
          <t>Reservations</t>
        </is>
      </c>
      <c r="E36" s="12" t="inlineStr">
        <is>
          <t>Waitlist &amp; Enquiry</t>
        </is>
      </c>
      <c r="F36" s="12" t="inlineStr">
        <is>
          <t>Waitlist and Enquiries</t>
        </is>
      </c>
      <c r="G36" s="12" t="inlineStr">
        <is>
          <t>Enable reservations users to manage waitlist &amp; enquiry through the Waitlist and Enquiries workflow with real-time status, validations and traceability.</t>
        </is>
      </c>
      <c r="H3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6" s="12" t="inlineStr">
        <is>
          <t>List, search, filter, view, create, edit, cancel/delete where allowed, export, audit</t>
        </is>
      </c>
      <c r="J36" s="12" t="inlineStr">
        <is>
          <t>Reservation Manager / Agent / Front Desk</t>
        </is>
      </c>
      <c r="K36" s="12" t="inlineStr">
        <is>
          <t>Must Have</t>
        </is>
      </c>
      <c r="L36" s="12" t="inlineStr">
        <is>
          <t>3. Reservations, Groups &amp; Front Desk</t>
        </is>
      </c>
      <c r="M36" s="12" t="inlineStr">
        <is>
          <t>S05-S07</t>
        </is>
      </c>
      <c r="N36" s="12" t="inlineStr">
        <is>
          <t>Not Started</t>
        </is>
      </c>
      <c r="O36" s="13">
        <f>IF(N36="Done",1,IF(N36="QA",0.9,IF(N36="Integration",0.75,IF(N36="Frontend",0.55,IF(N36="Backend",0.35,IF(N36="UX/UI",0.1,0))))))</f>
        <v/>
      </c>
      <c r="P36" s="12" t="inlineStr">
        <is>
          <t>Rooms, Rates, Guests, Payments</t>
        </is>
      </c>
      <c r="Q36" s="12" t="inlineStr">
        <is>
          <t>Responsive desktop/tablet UI; loading, empty, error and permission states; filters; form validation; accessible interactions</t>
        </is>
      </c>
      <c r="R36" s="12" t="inlineStr">
        <is>
          <t>GET, POST, PUT/PATCH, DELETE /api/v1/waitlist-and-enquiries; lookup, validation and audit endpoints; idempotency for financial/booking writes</t>
        </is>
      </c>
      <c r="S36" s="12" t="inlineStr">
        <is>
          <t>reservations, reservation_guests, reservation_items, deposits</t>
        </is>
      </c>
      <c r="T36" s="12" t="inlineStr">
        <is>
          <t>Tenant/property scope; required fields; optimistic locking; timezone-safe dates; reason mandatory for overrides; availability and overlap check; status-transition rules; cancellation policy</t>
        </is>
      </c>
      <c r="U36" s="12" t="inlineStr">
        <is>
          <t>Authorized users can complete the primary waitlist and enquiries workflow; invalid or conflicting actions are blocked with clear messages; saved changes appear in related screens; sensitive changes are auditable.</t>
        </is>
      </c>
      <c r="V36" s="12" t="inlineStr">
        <is>
          <t>RBAC, tenant and property isolation, server-side authorization, audit event for create/update/delete/override</t>
        </is>
      </c>
      <c r="W36" s="12" t="n"/>
      <c r="X36" s="14" t="n"/>
      <c r="Y36" s="14" t="n"/>
      <c r="Z36" s="12" t="n"/>
    </row>
    <row r="37" ht="70" customHeight="1" s="43">
      <c r="A37" s="10" t="n">
        <v>19</v>
      </c>
      <c r="B37" s="11" t="inlineStr">
        <is>
          <t>SCR-033</t>
        </is>
      </c>
      <c r="C37" s="12" t="inlineStr">
        <is>
          <t>Completed</t>
        </is>
      </c>
      <c r="D37" s="12" t="inlineStr">
        <is>
          <t>Revenue Management</t>
        </is>
      </c>
      <c r="E37" s="12" t="inlineStr">
        <is>
          <t>Rate Plans</t>
        </is>
      </c>
      <c r="F37" s="12" t="inlineStr">
        <is>
          <t>Rate Plans</t>
        </is>
      </c>
      <c r="G37" s="12" t="inlineStr">
        <is>
          <t>Enable revenue management users to manage rate plans through the Rate Plans workflow with real-time status, validations and traceability.</t>
        </is>
      </c>
      <c r="H37"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7" s="12" t="inlineStr">
        <is>
          <t>List, search, filter, view, create, edit, cancel/delete where allowed, export, audit</t>
        </is>
      </c>
      <c r="J37" s="12" t="inlineStr">
        <is>
          <t>Revenue Manager / General Manager</t>
        </is>
      </c>
      <c r="K37" s="12" t="inlineStr">
        <is>
          <t>Must Have</t>
        </is>
      </c>
      <c r="L37" s="12" t="inlineStr">
        <is>
          <t>2. Inventory, Rates &amp; Distribution Foundation</t>
        </is>
      </c>
      <c r="M37" s="12" t="inlineStr">
        <is>
          <t>S03-S04</t>
        </is>
      </c>
      <c r="N37" s="12" t="inlineStr">
        <is>
          <t>Not Started</t>
        </is>
      </c>
      <c r="O37" s="13">
        <f>IF(N37="Done",1,IF(N37="QA",0.9,IF(N37="Integration",0.75,IF(N37="Frontend",0.55,IF(N37="Backend",0.35,IF(N37="UX/UI",0.1,0))))))</f>
        <v/>
      </c>
      <c r="P37" s="12" t="inlineStr">
        <is>
          <t>Rooms, Distribution, Reservations</t>
        </is>
      </c>
      <c r="Q37" s="12" t="inlineStr">
        <is>
          <t>Responsive desktop/tablet UI; loading, empty, error and permission states; filters; form validation; accessible interactions</t>
        </is>
      </c>
      <c r="R37" s="12" t="inlineStr">
        <is>
          <t>GET, POST, PUT/PATCH, DELETE /api/v1/rate-plans; lookup, validation and audit endpoints; idempotency for financial/booking writes</t>
        </is>
      </c>
      <c r="S37" s="12" t="inlineStr">
        <is>
          <t>rate_plans, rate_rules, packages, restrictions, inventory_controls</t>
        </is>
      </c>
      <c r="T37" s="12" t="inlineStr">
        <is>
          <t>Tenant/property scope; required fields; optimistic locking; timezone-safe dates; reason mandatory for overrides; currency precision; tax/rate totals; approval limit; no unbalanced or duplicate posting</t>
        </is>
      </c>
      <c r="U37" s="12" t="inlineStr">
        <is>
          <t>Authorized users can complete the primary rate plans workflow; invalid or conflicting actions are blocked with clear messages; saved changes appear in related screens; sensitive changes are auditable.</t>
        </is>
      </c>
      <c r="V37" s="12" t="inlineStr">
        <is>
          <t>RBAC, tenant and property isolation, server-side authorization, audit event for create/update/delete/override</t>
        </is>
      </c>
      <c r="W37" s="12" t="n"/>
      <c r="X37" s="14" t="n"/>
      <c r="Y37" s="14" t="n"/>
      <c r="Z37" s="12" t="n"/>
    </row>
    <row r="38" ht="70" customHeight="1" s="43">
      <c r="A38" s="10" t="n">
        <v>20</v>
      </c>
      <c r="B38" s="11" t="inlineStr">
        <is>
          <t>SCR-034</t>
        </is>
      </c>
      <c r="C38" s="12" t="inlineStr">
        <is>
          <t>Completed</t>
        </is>
      </c>
      <c r="D38" s="12" t="inlineStr">
        <is>
          <t>Revenue Management</t>
        </is>
      </c>
      <c r="E38" s="12" t="inlineStr">
        <is>
          <t>Rates &amp; Restrictions</t>
        </is>
      </c>
      <c r="F38" s="12" t="inlineStr">
        <is>
          <t>Rates Restrictions and Inventory Calendar</t>
        </is>
      </c>
      <c r="G38" s="12" t="inlineStr">
        <is>
          <t>Enable revenue management users to manage rates &amp; restrictions through the Rates Restrictions and Inventory Calendar workflow with real-time status, validations and traceability.</t>
        </is>
      </c>
      <c r="H38" s="12" t="inlineStr">
        <is>
          <t>Provide role-aware view timeline, filter, create, assign, reschedule, conflict-check, cancel; support search and filters; validate mandatory fields and business conflicts; persist changes atomically; refresh related availability, balances or task status; record user, timestamp and reason for sensitive changes.</t>
        </is>
      </c>
      <c r="I38" s="12" t="inlineStr">
        <is>
          <t>View timeline, filter, create, assign, reschedule, conflict-check, cancel</t>
        </is>
      </c>
      <c r="J38" s="12" t="inlineStr">
        <is>
          <t>Revenue Manager / General Manager</t>
        </is>
      </c>
      <c r="K38" s="12" t="inlineStr">
        <is>
          <t>Must Have</t>
        </is>
      </c>
      <c r="L38" s="12" t="inlineStr">
        <is>
          <t>2. Inventory, Rates &amp; Distribution Foundation</t>
        </is>
      </c>
      <c r="M38" s="12" t="inlineStr">
        <is>
          <t>S03-S04</t>
        </is>
      </c>
      <c r="N38" s="12" t="inlineStr">
        <is>
          <t>Not Started</t>
        </is>
      </c>
      <c r="O38" s="13">
        <f>IF(N38="Done",1,IF(N38="QA",0.9,IF(N38="Integration",0.75,IF(N38="Frontend",0.55,IF(N38="Backend",0.35,IF(N38="UX/UI",0.1,0))))))</f>
        <v/>
      </c>
      <c r="P38" s="12" t="inlineStr">
        <is>
          <t>Rooms, Distribution, Reservations</t>
        </is>
      </c>
      <c r="Q38" s="12" t="inlineStr">
        <is>
          <t>Responsive desktop/tablet UI; loading, empty, error and permission states; filters; form validation; accessible interactions</t>
        </is>
      </c>
      <c r="R38" s="12" t="inlineStr">
        <is>
          <t>GET, POST, PUT/PATCH, DELETE /api/v1/rates-restrictions-and-inventory-calendar; lookup, validation and audit endpoints; idempotency for financial/booking writes</t>
        </is>
      </c>
      <c r="S38" s="12" t="inlineStr">
        <is>
          <t>rate_plans, rate_rules, packages, restrictions, inventory_controls</t>
        </is>
      </c>
      <c r="T38" s="12" t="inlineStr">
        <is>
          <t>Tenant/property scope; required fields; optimistic locking; timezone-safe dates; reason mandatory for overrides; currency precision; tax/rate totals; approval limit; no unbalanced or duplicate posting</t>
        </is>
      </c>
      <c r="U38" s="12" t="inlineStr">
        <is>
          <t>Authorized users can complete the primary rates restrictions and inventory calendar workflow; invalid or conflicting actions are blocked with clear messages; saved changes appear in related screens; sensitive changes are auditable.</t>
        </is>
      </c>
      <c r="V38" s="12" t="inlineStr">
        <is>
          <t>RBAC, tenant and property isolation, server-side authorization, audit event for create/update/delete/override</t>
        </is>
      </c>
      <c r="W38" s="12" t="n"/>
      <c r="X38" s="14" t="n"/>
      <c r="Y38" s="14" t="n"/>
      <c r="Z38" s="12" t="n"/>
    </row>
    <row r="39" ht="70" customHeight="1" s="43">
      <c r="A39" s="10" t="n">
        <v>21</v>
      </c>
      <c r="B39" s="11" t="inlineStr">
        <is>
          <t>SCR-035</t>
        </is>
      </c>
      <c r="C39" s="12" t="inlineStr">
        <is>
          <t>Completed</t>
        </is>
      </c>
      <c r="D39" s="12" t="inlineStr">
        <is>
          <t>Revenue Management</t>
        </is>
      </c>
      <c r="E39" s="12" t="inlineStr">
        <is>
          <t>Offers</t>
        </is>
      </c>
      <c r="F39" s="12" t="inlineStr">
        <is>
          <t>Packages and Promotions</t>
        </is>
      </c>
      <c r="G39" s="12" t="inlineStr">
        <is>
          <t>Enable revenue management users to manage offers through the Packages and Promotions workflow with real-time status, validations and traceability.</t>
        </is>
      </c>
      <c r="H39"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9" s="12" t="inlineStr">
        <is>
          <t>List, search, filter, view, create, edit, cancel/delete where allowed, export, audit</t>
        </is>
      </c>
      <c r="J39" s="12" t="inlineStr">
        <is>
          <t>Revenue Manager / General Manager</t>
        </is>
      </c>
      <c r="K39" s="12" t="inlineStr">
        <is>
          <t>Must Have</t>
        </is>
      </c>
      <c r="L39" s="12" t="inlineStr">
        <is>
          <t>2. Inventory, Rates &amp; Distribution Foundation</t>
        </is>
      </c>
      <c r="M39" s="12" t="inlineStr">
        <is>
          <t>S03-S04</t>
        </is>
      </c>
      <c r="N39" s="12" t="inlineStr">
        <is>
          <t>Not Started</t>
        </is>
      </c>
      <c r="O39" s="13">
        <f>IF(N39="Done",1,IF(N39="QA",0.9,IF(N39="Integration",0.75,IF(N39="Frontend",0.55,IF(N39="Backend",0.35,IF(N39="UX/UI",0.1,0))))))</f>
        <v/>
      </c>
      <c r="P39" s="12" t="inlineStr">
        <is>
          <t>Rooms, Distribution, Reservations</t>
        </is>
      </c>
      <c r="Q39" s="12" t="inlineStr">
        <is>
          <t>Responsive desktop/tablet UI; loading, empty, error and permission states; filters; form validation; accessible interactions</t>
        </is>
      </c>
      <c r="R39" s="12" t="inlineStr">
        <is>
          <t>GET, POST, PUT/PATCH, DELETE /api/v1/packages-and-promotions; lookup, validation and audit endpoints; idempotency for financial/booking writes</t>
        </is>
      </c>
      <c r="S39" s="12" t="inlineStr">
        <is>
          <t>rate_plans, rate_rules, packages, restrictions, inventory_controls</t>
        </is>
      </c>
      <c r="T39" s="12" t="inlineStr">
        <is>
          <t>Tenant/property scope; required fields; optimistic locking; timezone-safe dates; reason mandatory for overrides; currency precision; tax/rate totals; approval limit; no unbalanced or duplicate posting</t>
        </is>
      </c>
      <c r="U39" s="12" t="inlineStr">
        <is>
          <t>Authorized users can complete the primary packages and promotions workflow; invalid or conflicting actions are blocked with clear messages; saved changes appear in related screens; sensitive changes are auditable.</t>
        </is>
      </c>
      <c r="V39" s="12" t="inlineStr">
        <is>
          <t>RBAC, tenant and property isolation, server-side authorization, audit event for create/update/delete/override</t>
        </is>
      </c>
      <c r="W39" s="12" t="n"/>
      <c r="X39" s="14" t="n"/>
      <c r="Y39" s="14" t="n"/>
      <c r="Z39" s="12" t="n"/>
    </row>
    <row r="40" ht="70" customHeight="1" s="43">
      <c r="A40" s="10" t="n">
        <v>112</v>
      </c>
      <c r="B40" s="11" t="inlineStr">
        <is>
          <t>SCR-036</t>
        </is>
      </c>
      <c r="C40" s="12" t="inlineStr">
        <is>
          <t>Completed</t>
        </is>
      </c>
      <c r="D40" s="12" t="inlineStr">
        <is>
          <t>Finance</t>
        </is>
      </c>
      <c r="E40" s="12" t="inlineStr">
        <is>
          <t>Cashiering</t>
        </is>
      </c>
      <c r="F40" s="12" t="inlineStr">
        <is>
          <t>Payment and Cashiering Center</t>
        </is>
      </c>
      <c r="G40" s="12" t="inlineStr">
        <is>
          <t>Enable finance users to manage cashiering through the Payment and Cashiering Center workflow with real-time status, validations and traceability.</t>
        </is>
      </c>
      <c r="H4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40" s="12" t="inlineStr">
        <is>
          <t>List, search, filter, view, create, edit, cancel/delete where allowed, export, audit</t>
        </is>
      </c>
      <c r="J40" s="12" t="inlineStr">
        <is>
          <t>Finance Manager / Night Auditor / Cashier</t>
        </is>
      </c>
      <c r="K40" s="12" t="inlineStr">
        <is>
          <t>Must Have</t>
        </is>
      </c>
      <c r="L40" s="12" t="inlineStr">
        <is>
          <t>10. Workforce, Finance &amp; Analytics</t>
        </is>
      </c>
      <c r="M40" s="12" t="inlineStr">
        <is>
          <t>S20-S22</t>
        </is>
      </c>
      <c r="N40" s="12" t="inlineStr">
        <is>
          <t>Not Started</t>
        </is>
      </c>
      <c r="O40" s="13">
        <f>IF(N40="Done",1,IF(N40="QA",0.9,IF(N40="Integration",0.75,IF(N40="Frontend",0.55,IF(N40="Backend",0.35,IF(N40="UX/UI",0.1,0))))))</f>
        <v/>
      </c>
      <c r="P40" s="12" t="inlineStr">
        <is>
          <t>All revenue modules</t>
        </is>
      </c>
      <c r="Q40" s="12" t="inlineStr">
        <is>
          <t>Responsive desktop/tablet UI; loading, empty, error and permission states; filters; form validation; accessible interactions</t>
        </is>
      </c>
      <c r="R40" s="12" t="inlineStr">
        <is>
          <t>GET, POST, PUT/PATCH, DELETE /api/v1/payment-and-cashiering-center; lookup, validation and audit endpoints; idempotency for financial/booking writes</t>
        </is>
      </c>
      <c r="S40" s="12" t="inlineStr">
        <is>
          <t>folios, payments, refunds, invoices, credit_notes, cash_drawers, taxes, receivables</t>
        </is>
      </c>
      <c r="T40" s="12" t="inlineStr">
        <is>
          <t>Tenant/property scope; required fields; optimistic locking; timezone-safe dates; reason mandatory for overrides; currency precision; tax/rate totals; approval limit; no unbalanced or duplicate posting</t>
        </is>
      </c>
      <c r="U40" s="12" t="inlineStr">
        <is>
          <t>Authorized users can complete the primary payment and cashiering center workflow; invalid or conflicting actions are blocked with clear messages; saved changes appear in related screens; sensitive changes are auditable.</t>
        </is>
      </c>
      <c r="V40" s="12" t="inlineStr">
        <is>
          <t>RBAC, tenant and property isolation, server-side authorization, audit event for create/update/delete/override; field masking and approval/audit evidence required</t>
        </is>
      </c>
      <c r="W40" s="12" t="n"/>
      <c r="X40" s="14" t="n"/>
      <c r="Y40" s="14" t="n"/>
      <c r="Z40" s="12" t="n"/>
    </row>
    <row r="41" ht="70" customHeight="1" s="43">
      <c r="A41" s="10" t="n">
        <v>113</v>
      </c>
      <c r="B41" s="11" t="inlineStr">
        <is>
          <t>SCR-037</t>
        </is>
      </c>
      <c r="C41" s="12" t="inlineStr">
        <is>
          <t>Completed</t>
        </is>
      </c>
      <c r="D41" s="12" t="inlineStr">
        <is>
          <t>Finance</t>
        </is>
      </c>
      <c r="E41" s="12" t="inlineStr">
        <is>
          <t>Refunds</t>
        </is>
      </c>
      <c r="F41" s="12" t="inlineStr">
        <is>
          <t>Refund Approval</t>
        </is>
      </c>
      <c r="G41" s="12" t="inlineStr">
        <is>
          <t>Enable finance users to manage refunds through the Refund Approval workflow with real-time status, validations and traceability.</t>
        </is>
      </c>
      <c r="H41" s="12" t="inlineStr">
        <is>
          <t>Provide role-aware view, approve, reject, comment, escalate, audit; support search and filters; validate mandatory fields and business conflicts; persist changes atomically; refresh related availability, balances or task status; record user, timestamp and reason for sensitive changes.</t>
        </is>
      </c>
      <c r="I41" s="12" t="inlineStr">
        <is>
          <t>View, approve, reject, comment, escalate, audit</t>
        </is>
      </c>
      <c r="J41" s="12" t="inlineStr">
        <is>
          <t>Finance Manager / Night Auditor / Cashier</t>
        </is>
      </c>
      <c r="K41" s="12" t="inlineStr">
        <is>
          <t>Could Have</t>
        </is>
      </c>
      <c r="L41" s="12" t="inlineStr">
        <is>
          <t>10. Workforce, Finance &amp; Analytics</t>
        </is>
      </c>
      <c r="M41" s="12" t="inlineStr">
        <is>
          <t>S20-S22</t>
        </is>
      </c>
      <c r="N41" s="12" t="inlineStr">
        <is>
          <t>Not Started</t>
        </is>
      </c>
      <c r="O41" s="13">
        <f>IF(N41="Done",1,IF(N41="QA",0.9,IF(N41="Integration",0.75,IF(N41="Frontend",0.55,IF(N41="Backend",0.35,IF(N41="UX/UI",0.1,0))))))</f>
        <v/>
      </c>
      <c r="P41" s="12" t="inlineStr">
        <is>
          <t>All revenue modules</t>
        </is>
      </c>
      <c r="Q41" s="12" t="inlineStr">
        <is>
          <t>Responsive desktop/tablet UI; loading, empty, error and permission states; filters; form validation; accessible interactions</t>
        </is>
      </c>
      <c r="R41" s="12" t="inlineStr">
        <is>
          <t>GET, POST/PATCH /api/v1/refund-approval; lookup, validation and audit endpoints; idempotency for financial/booking writes</t>
        </is>
      </c>
      <c r="S41" s="12" t="inlineStr">
        <is>
          <t>folios, payments, refunds, invoices, credit_notes, cash_drawers, taxes, receivables</t>
        </is>
      </c>
      <c r="T41" s="12" t="inlineStr">
        <is>
          <t>Tenant/property scope; required fields; optimistic locking; timezone-safe dates; reason mandatory for overrides; currency precision; tax/rate totals; approval limit; no unbalanced or duplicate posting</t>
        </is>
      </c>
      <c r="U41" s="12" t="inlineStr">
        <is>
          <t>Authorized users can complete the primary refund approval workflow; invalid or conflicting actions are blocked with clear messages; saved changes appear in related screens; sensitive changes are auditable.</t>
        </is>
      </c>
      <c r="V41" s="12" t="inlineStr">
        <is>
          <t>RBAC, tenant and property isolation, server-side authorization, audit event for create/update/delete/override; field masking and approval/audit evidence required</t>
        </is>
      </c>
      <c r="W41" s="12" t="n"/>
      <c r="X41" s="14" t="n"/>
      <c r="Y41" s="14" t="n"/>
      <c r="Z41" s="12" t="n"/>
    </row>
    <row r="42" ht="70" customHeight="1" s="43">
      <c r="A42" s="10" t="n">
        <v>114</v>
      </c>
      <c r="B42" s="11" t="inlineStr">
        <is>
          <t>SCR-038</t>
        </is>
      </c>
      <c r="C42" s="12" t="inlineStr">
        <is>
          <t>Completed</t>
        </is>
      </c>
      <c r="D42" s="12" t="inlineStr">
        <is>
          <t>Finance</t>
        </is>
      </c>
      <c r="E42" s="12" t="inlineStr">
        <is>
          <t>Accounts Receivable</t>
        </is>
      </c>
      <c r="F42" s="12" t="inlineStr">
        <is>
          <t>Company and Travel Agent Receivables</t>
        </is>
      </c>
      <c r="G42" s="12" t="inlineStr">
        <is>
          <t>Enable finance users to manage accounts receivable through the Company and Travel Agent Receivables workflow with real-time status, validations and traceability.</t>
        </is>
      </c>
      <c r="H4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42" s="12" t="inlineStr">
        <is>
          <t>List, search, filter, view, create, edit, cancel/delete where allowed, export, audit</t>
        </is>
      </c>
      <c r="J42" s="12" t="inlineStr">
        <is>
          <t>Finance Manager / Night Auditor / Cashier</t>
        </is>
      </c>
      <c r="K42" s="12" t="inlineStr">
        <is>
          <t>Could Have</t>
        </is>
      </c>
      <c r="L42" s="12" t="inlineStr">
        <is>
          <t>10. Workforce, Finance &amp; Analytics</t>
        </is>
      </c>
      <c r="M42" s="12" t="inlineStr">
        <is>
          <t>S20-S22</t>
        </is>
      </c>
      <c r="N42" s="12" t="inlineStr">
        <is>
          <t>Not Started</t>
        </is>
      </c>
      <c r="O42" s="13">
        <f>IF(N42="Done",1,IF(N42="QA",0.9,IF(N42="Integration",0.75,IF(N42="Frontend",0.55,IF(N42="Backend",0.35,IF(N42="UX/UI",0.1,0))))))</f>
        <v/>
      </c>
      <c r="P42" s="12" t="inlineStr">
        <is>
          <t>All revenue modules</t>
        </is>
      </c>
      <c r="Q42" s="12" t="inlineStr">
        <is>
          <t>Responsive desktop/tablet UI; loading, empty, error and permission states; filters; form validation; accessible interactions</t>
        </is>
      </c>
      <c r="R42" s="12" t="inlineStr">
        <is>
          <t>GET, POST, PUT/PATCH, DELETE /api/v1/company-and-travel-agent-receivables; lookup, validation and audit endpoints; idempotency for financial/booking writes</t>
        </is>
      </c>
      <c r="S42" s="12" t="inlineStr">
        <is>
          <t>folios, payments, refunds, invoices, credit_notes, cash_drawers, taxes, receivables</t>
        </is>
      </c>
      <c r="T42" s="12" t="inlineStr">
        <is>
          <t>Tenant/property scope; required fields; optimistic locking; timezone-safe dates; reason mandatory for overrides; currency precision; tax/rate totals; approval limit; no unbalanced or duplicate posting</t>
        </is>
      </c>
      <c r="U42" s="12" t="inlineStr">
        <is>
          <t>Authorized users can complete the primary company and travel agent receivables workflow; invalid or conflicting actions are blocked with clear messages; saved changes appear in related screens; sensitive changes are auditable.</t>
        </is>
      </c>
      <c r="V42" s="12" t="inlineStr">
        <is>
          <t>RBAC, tenant and property isolation, server-side authorization, audit event for create/update/delete/override; field masking and approval/audit evidence required</t>
        </is>
      </c>
      <c r="W42" s="12" t="n"/>
      <c r="X42" s="14" t="n"/>
      <c r="Y42" s="14" t="n"/>
      <c r="Z42" s="12" t="n"/>
    </row>
    <row r="43" ht="70" customHeight="1" s="43">
      <c r="A43" s="10" t="n">
        <v>2</v>
      </c>
      <c r="B43" s="11" t="inlineStr">
        <is>
          <t>SCR-039</t>
        </is>
      </c>
      <c r="C43" s="12" t="inlineStr">
        <is>
          <t>Completed</t>
        </is>
      </c>
      <c r="D43" s="12" t="inlineStr">
        <is>
          <t>Administration</t>
        </is>
      </c>
      <c r="E43" s="12" t="inlineStr">
        <is>
          <t>Identity &amp; Access</t>
        </is>
      </c>
      <c r="F43" s="12" t="inlineStr">
        <is>
          <t>User Management</t>
        </is>
      </c>
      <c r="G43" s="12" t="inlineStr">
        <is>
          <t>Enable administration users to manage identity &amp; access through the User Management workflow with real-time status, validations and traceability.</t>
        </is>
      </c>
      <c r="H43"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43" s="12" t="inlineStr">
        <is>
          <t>List, view, create, edit, activate/deactivate, delete where safe, audit</t>
        </is>
      </c>
      <c r="J43" s="12" t="inlineStr">
        <is>
          <t>System Admin / Property Admin / Auditor</t>
        </is>
      </c>
      <c r="K43" s="12" t="inlineStr">
        <is>
          <t>Must Have</t>
        </is>
      </c>
      <c r="L43" s="12" t="inlineStr">
        <is>
          <t>1. Core Platform, Security &amp; Masters</t>
        </is>
      </c>
      <c r="M43" s="12" t="inlineStr">
        <is>
          <t>S01-S02</t>
        </is>
      </c>
      <c r="N43" s="12" t="inlineStr">
        <is>
          <t>Not Started</t>
        </is>
      </c>
      <c r="O43" s="13">
        <f>IF(N43="Done",1,IF(N43="QA",0.9,IF(N43="Integration",0.75,IF(N43="Frontend",0.55,IF(N43="Backend",0.35,IF(N43="UX/UI",0.1,0))))))</f>
        <v/>
      </c>
      <c r="P43" s="12" t="inlineStr">
        <is>
          <t>Platform</t>
        </is>
      </c>
      <c r="Q43" s="12" t="inlineStr">
        <is>
          <t>Responsive desktop/tablet UI; loading, empty, error and permission states; filters; form validation; accessible interactions</t>
        </is>
      </c>
      <c r="R43" s="12" t="inlineStr">
        <is>
          <t>GET, POST, PUT/PATCH, DELETE /api/v1/user-management; lookup, validation and audit endpoints; idempotency for financial/booking writes</t>
        </is>
      </c>
      <c r="S43" s="12" t="inlineStr">
        <is>
          <t>users, roles, permissions, approvals, audit_logs, templates, import_jobs</t>
        </is>
      </c>
      <c r="T43" s="12" t="inlineStr">
        <is>
          <t>Tenant/property scope; required fields; optimistic locking; timezone-safe dates; reason mandatory for overrides; least privilege; secret masking; versioning; change approval</t>
        </is>
      </c>
      <c r="U43" s="12" t="inlineStr">
        <is>
          <t>Authorized users can complete the primary user management workflow; invalid or conflicting actions are blocked with clear messages; saved changes appear in related screens; sensitive changes are auditable.</t>
        </is>
      </c>
      <c r="V43" s="12" t="inlineStr">
        <is>
          <t>RBAC, tenant and property isolation, server-side authorization, audit event for create/update/delete/override; field masking and approval/audit evidence required</t>
        </is>
      </c>
      <c r="W43" s="12" t="n"/>
      <c r="X43" s="14" t="n"/>
      <c r="Y43" s="14" t="n"/>
      <c r="Z43" s="12" t="n"/>
    </row>
    <row r="44" ht="70" customHeight="1" s="43">
      <c r="A44" s="10" t="n">
        <v>3</v>
      </c>
      <c r="B44" s="11" t="inlineStr">
        <is>
          <t>SCR-040</t>
        </is>
      </c>
      <c r="C44" s="12" t="inlineStr">
        <is>
          <t>Completed</t>
        </is>
      </c>
      <c r="D44" s="12" t="inlineStr">
        <is>
          <t>Administration</t>
        </is>
      </c>
      <c r="E44" s="12" t="inlineStr">
        <is>
          <t>Identity &amp; Access</t>
        </is>
      </c>
      <c r="F44" s="12" t="inlineStr">
        <is>
          <t>Invite or Edit User Access</t>
        </is>
      </c>
      <c r="G44" s="12" t="inlineStr">
        <is>
          <t>Enable administration users to manage identity &amp; access through the Invite or Edit User Access workflow with real-time status, validations and traceability.</t>
        </is>
      </c>
      <c r="H44"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44" s="12" t="inlineStr">
        <is>
          <t>List, search, filter, view, create, edit, cancel/delete where allowed, export, audit</t>
        </is>
      </c>
      <c r="J44" s="12" t="inlineStr">
        <is>
          <t>System Admin / Property Admin / Auditor</t>
        </is>
      </c>
      <c r="K44" s="12" t="inlineStr">
        <is>
          <t>Must Have</t>
        </is>
      </c>
      <c r="L44" s="12" t="inlineStr">
        <is>
          <t>1. Core Platform, Security &amp; Masters</t>
        </is>
      </c>
      <c r="M44" s="12" t="inlineStr">
        <is>
          <t>S01-S02</t>
        </is>
      </c>
      <c r="N44" s="12" t="inlineStr">
        <is>
          <t>Not Started</t>
        </is>
      </c>
      <c r="O44" s="13">
        <f>IF(N44="Done",1,IF(N44="QA",0.9,IF(N44="Integration",0.75,IF(N44="Frontend",0.55,IF(N44="Backend",0.35,IF(N44="UX/UI",0.1,0))))))</f>
        <v/>
      </c>
      <c r="P44" s="12" t="inlineStr">
        <is>
          <t>Platform</t>
        </is>
      </c>
      <c r="Q44" s="12" t="inlineStr">
        <is>
          <t>Responsive desktop/tablet UI; loading, empty, error and permission states; filters; form validation; accessible interactions</t>
        </is>
      </c>
      <c r="R44" s="12" t="inlineStr">
        <is>
          <t>GET, POST, PUT/PATCH, DELETE /api/v1/invite-or-edit-user-access; lookup, validation and audit endpoints; idempotency for financial/booking writes</t>
        </is>
      </c>
      <c r="S44" s="12" t="inlineStr">
        <is>
          <t>users, roles, permissions, approvals, audit_logs, templates, import_jobs</t>
        </is>
      </c>
      <c r="T44" s="12" t="inlineStr">
        <is>
          <t>Tenant/property scope; required fields; optimistic locking; timezone-safe dates; reason mandatory for overrides; least privilege; secret masking; versioning; change approval</t>
        </is>
      </c>
      <c r="U44" s="12" t="inlineStr">
        <is>
          <t>Authorized users can complete the primary invite or edit user access workflow; invalid or conflicting actions are blocked with clear messages; saved changes appear in related screens; sensitive changes are auditable.</t>
        </is>
      </c>
      <c r="V44" s="12" t="inlineStr">
        <is>
          <t>RBAC, tenant and property isolation, server-side authorization, audit event for create/update/delete/override; field masking and approval/audit evidence required</t>
        </is>
      </c>
      <c r="W44" s="12" t="n"/>
      <c r="X44" s="14" t="n"/>
      <c r="Y44" s="14" t="n"/>
      <c r="Z44" s="12" t="n"/>
    </row>
    <row r="45" ht="70" customHeight="1" s="43">
      <c r="A45" s="10" t="n">
        <v>4</v>
      </c>
      <c r="B45" s="11" t="inlineStr">
        <is>
          <t>SCR-041</t>
        </is>
      </c>
      <c r="C45" s="12" t="inlineStr">
        <is>
          <t>Completed</t>
        </is>
      </c>
      <c r="D45" s="12" t="inlineStr">
        <is>
          <t>Administration</t>
        </is>
      </c>
      <c r="E45" s="12" t="inlineStr">
        <is>
          <t>Authorization</t>
        </is>
      </c>
      <c r="F45" s="12" t="inlineStr">
        <is>
          <t>Roles and Permission Matrix</t>
        </is>
      </c>
      <c r="G45" s="12" t="inlineStr">
        <is>
          <t>Enable administration users to manage authorization through the Roles and Permission Matrix workflow with real-time status, validations and traceability.</t>
        </is>
      </c>
      <c r="H45"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45" s="12" t="inlineStr">
        <is>
          <t>List, search, filter, view, create, edit, cancel/delete where allowed, export, audit</t>
        </is>
      </c>
      <c r="J45" s="12" t="inlineStr">
        <is>
          <t>System Admin / Property Admin / Auditor</t>
        </is>
      </c>
      <c r="K45" s="12" t="inlineStr">
        <is>
          <t>Must Have</t>
        </is>
      </c>
      <c r="L45" s="12" t="inlineStr">
        <is>
          <t>1. Core Platform, Security &amp; Masters</t>
        </is>
      </c>
      <c r="M45" s="12" t="inlineStr">
        <is>
          <t>S01-S02</t>
        </is>
      </c>
      <c r="N45" s="12" t="inlineStr">
        <is>
          <t>Not Started</t>
        </is>
      </c>
      <c r="O45" s="13">
        <f>IF(N45="Done",1,IF(N45="QA",0.9,IF(N45="Integration",0.75,IF(N45="Frontend",0.55,IF(N45="Backend",0.35,IF(N45="UX/UI",0.1,0))))))</f>
        <v/>
      </c>
      <c r="P45" s="12" t="inlineStr">
        <is>
          <t>Platform</t>
        </is>
      </c>
      <c r="Q45" s="12" t="inlineStr">
        <is>
          <t>Responsive desktop/tablet UI; loading, empty, error and permission states; filters; form validation; accessible interactions</t>
        </is>
      </c>
      <c r="R45" s="12" t="inlineStr">
        <is>
          <t>GET, POST, PUT/PATCH, DELETE /api/v1/roles-and-permission-matrix; lookup, validation and audit endpoints; idempotency for financial/booking writes</t>
        </is>
      </c>
      <c r="S45" s="12" t="inlineStr">
        <is>
          <t>users, roles, permissions, approvals, audit_logs, templates, import_jobs</t>
        </is>
      </c>
      <c r="T45" s="12" t="inlineStr">
        <is>
          <t>Tenant/property scope; required fields; optimistic locking; timezone-safe dates; reason mandatory for overrides; least privilege; secret masking; versioning; change approval</t>
        </is>
      </c>
      <c r="U45" s="12" t="inlineStr">
        <is>
          <t>Authorized users can complete the primary roles and permission matrix workflow; invalid or conflicting actions are blocked with clear messages; saved changes appear in related screens; sensitive changes are auditable.</t>
        </is>
      </c>
      <c r="V45" s="12" t="inlineStr">
        <is>
          <t>RBAC, tenant and property isolation, server-side authorization, audit event for create/update/delete/override; field masking and approval/audit evidence required</t>
        </is>
      </c>
      <c r="W45" s="12" t="n"/>
      <c r="X45" s="14" t="n"/>
      <c r="Y45" s="14" t="n"/>
      <c r="Z45" s="12" t="n"/>
    </row>
    <row r="46" ht="70" customHeight="1" s="43">
      <c r="A46" s="10" t="n">
        <v>5</v>
      </c>
      <c r="B46" s="11" t="inlineStr">
        <is>
          <t>SCR-042</t>
        </is>
      </c>
      <c r="C46" s="12" t="inlineStr">
        <is>
          <t>Completed</t>
        </is>
      </c>
      <c r="D46" s="12" t="inlineStr">
        <is>
          <t>Administration</t>
        </is>
      </c>
      <c r="E46" s="12" t="inlineStr">
        <is>
          <t>Approvals</t>
        </is>
      </c>
      <c r="F46" s="12" t="inlineStr">
        <is>
          <t>Approval Limits and Queue</t>
        </is>
      </c>
      <c r="G46" s="12" t="inlineStr">
        <is>
          <t>Enable administration users to manage approvals through the Approval Limits and Queue workflow with real-time status, validations and traceability.</t>
        </is>
      </c>
      <c r="H46" s="12" t="inlineStr">
        <is>
          <t>Provide role-aware view, approve, reject, comment, escalate, audit; support search and filters; validate mandatory fields and business conflicts; persist changes atomically; refresh related availability, balances or task status; record user, timestamp and reason for sensitive changes.</t>
        </is>
      </c>
      <c r="I46" s="12" t="inlineStr">
        <is>
          <t>View, approve, reject, comment, escalate, audit</t>
        </is>
      </c>
      <c r="J46" s="12" t="inlineStr">
        <is>
          <t>System Admin / Property Admin / Auditor</t>
        </is>
      </c>
      <c r="K46" s="12" t="inlineStr">
        <is>
          <t>Must Have</t>
        </is>
      </c>
      <c r="L46" s="12" t="inlineStr">
        <is>
          <t>1. Core Platform, Security &amp; Masters</t>
        </is>
      </c>
      <c r="M46" s="12" t="inlineStr">
        <is>
          <t>S01-S02</t>
        </is>
      </c>
      <c r="N46" s="12" t="inlineStr">
        <is>
          <t>Not Started</t>
        </is>
      </c>
      <c r="O46" s="13">
        <f>IF(N46="Done",1,IF(N46="QA",0.9,IF(N46="Integration",0.75,IF(N46="Frontend",0.55,IF(N46="Backend",0.35,IF(N46="UX/UI",0.1,0))))))</f>
        <v/>
      </c>
      <c r="P46" s="12" t="inlineStr">
        <is>
          <t>Platform</t>
        </is>
      </c>
      <c r="Q46" s="12" t="inlineStr">
        <is>
          <t>Responsive desktop/tablet UI; loading, empty, error and permission states; filters; form validation; accessible interactions</t>
        </is>
      </c>
      <c r="R46" s="12" t="inlineStr">
        <is>
          <t>GET, POST/PATCH /api/v1/approval-limits-and-queue; lookup, validation and audit endpoints; idempotency for financial/booking writes</t>
        </is>
      </c>
      <c r="S46" s="12" t="inlineStr">
        <is>
          <t>users, roles, permissions, approvals, audit_logs, templates, import_jobs</t>
        </is>
      </c>
      <c r="T46" s="12" t="inlineStr">
        <is>
          <t>Tenant/property scope; required fields; optimistic locking; timezone-safe dates; reason mandatory for overrides; least privilege; secret masking; versioning; change approval</t>
        </is>
      </c>
      <c r="U46" s="12" t="inlineStr">
        <is>
          <t>Authorized users can complete the primary approval limits and queue workflow; invalid or conflicting actions are blocked with clear messages; saved changes appear in related screens; sensitive changes are auditable.</t>
        </is>
      </c>
      <c r="V46" s="12" t="inlineStr">
        <is>
          <t>RBAC, tenant and property isolation, server-side authorization, audit event for create/update/delete/override; field masking and approval/audit evidence required</t>
        </is>
      </c>
      <c r="W46" s="12" t="n"/>
      <c r="X46" s="14" t="n"/>
      <c r="Y46" s="14" t="n"/>
      <c r="Z46" s="12" t="n"/>
    </row>
    <row r="47" ht="70" customHeight="1" s="43">
      <c r="A47" s="10" t="n">
        <v>6</v>
      </c>
      <c r="B47" s="11" t="inlineStr">
        <is>
          <t>SCR-043</t>
        </is>
      </c>
      <c r="C47" s="12" t="inlineStr">
        <is>
          <t>Completed</t>
        </is>
      </c>
      <c r="D47" s="12" t="inlineStr">
        <is>
          <t>Administration</t>
        </is>
      </c>
      <c r="E47" s="12" t="inlineStr">
        <is>
          <t>Audit &amp; Compliance</t>
        </is>
      </c>
      <c r="F47" s="12" t="inlineStr">
        <is>
          <t>Audit Log</t>
        </is>
      </c>
      <c r="G47" s="12" t="inlineStr">
        <is>
          <t>Enable administration users to manage audit &amp; compliance through the Audit Log workflow with real-time status, validations and traceability.</t>
        </is>
      </c>
      <c r="H47" s="12" t="inlineStr">
        <is>
          <t>Provide role-aware view, filter, search, drill down, export, refresh; support search and filters; validate mandatory fields and business conflicts; persist changes atomically; refresh related availability, balances or task status; record user, timestamp and reason for sensitive changes.</t>
        </is>
      </c>
      <c r="I47" s="12" t="inlineStr">
        <is>
          <t>View, filter, search, drill down, export, refresh</t>
        </is>
      </c>
      <c r="J47" s="12" t="inlineStr">
        <is>
          <t>System Admin / Property Admin / Auditor</t>
        </is>
      </c>
      <c r="K47" s="12" t="inlineStr">
        <is>
          <t>Must Have</t>
        </is>
      </c>
      <c r="L47" s="12" t="inlineStr">
        <is>
          <t>1. Core Platform, Security &amp; Masters</t>
        </is>
      </c>
      <c r="M47" s="12" t="inlineStr">
        <is>
          <t>S01-S02</t>
        </is>
      </c>
      <c r="N47" s="12" t="inlineStr">
        <is>
          <t>Not Started</t>
        </is>
      </c>
      <c r="O47" s="13">
        <f>IF(N47="Done",1,IF(N47="QA",0.9,IF(N47="Integration",0.75,IF(N47="Frontend",0.55,IF(N47="Backend",0.35,IF(N47="UX/UI",0.1,0))))))</f>
        <v/>
      </c>
      <c r="P47" s="12" t="inlineStr">
        <is>
          <t>Platform</t>
        </is>
      </c>
      <c r="Q47" s="12" t="inlineStr">
        <is>
          <t>Responsive desktop/tablet UI; loading, empty, error and permission states; filters; form validation; accessible interactions</t>
        </is>
      </c>
      <c r="R47" s="12" t="inlineStr">
        <is>
          <t>GET, POST/PATCH /api/v1/audit-log; lookup, validation and audit endpoints; idempotency for financial/booking writes</t>
        </is>
      </c>
      <c r="S47" s="12" t="inlineStr">
        <is>
          <t>users, roles, permissions, approvals, audit_logs, templates, import_jobs</t>
        </is>
      </c>
      <c r="T47" s="12" t="inlineStr">
        <is>
          <t>Tenant/property scope; required fields; optimistic locking; timezone-safe dates; reason mandatory for overrides; least privilege; secret masking; versioning; change approval</t>
        </is>
      </c>
      <c r="U47" s="12" t="inlineStr">
        <is>
          <t>Authorized users can complete the primary audit log workflow; invalid or conflicting actions are blocked with clear messages; saved changes appear in related screens; sensitive changes are auditable.</t>
        </is>
      </c>
      <c r="V47" s="12" t="inlineStr">
        <is>
          <t>RBAC, tenant and property isolation, server-side authorization, audit event for create/update/delete/override; field masking and approval/audit evidence required</t>
        </is>
      </c>
      <c r="W47" s="12" t="n"/>
      <c r="X47" s="14" t="n"/>
      <c r="Y47" s="14" t="n"/>
      <c r="Z47" s="12" t="n"/>
    </row>
    <row r="48" ht="70" customHeight="1" s="43">
      <c r="A48" s="10" t="n">
        <v>119</v>
      </c>
      <c r="B48" s="11" t="inlineStr">
        <is>
          <t>SCR-044</t>
        </is>
      </c>
      <c r="C48" s="12" t="inlineStr">
        <is>
          <t>Completed</t>
        </is>
      </c>
      <c r="D48" s="12" t="inlineStr">
        <is>
          <t>AI &amp; Automation</t>
        </is>
      </c>
      <c r="E48" s="12" t="inlineStr">
        <is>
          <t>AI Operations</t>
        </is>
      </c>
      <c r="F48" s="12" t="inlineStr">
        <is>
          <t>AI Command Center</t>
        </is>
      </c>
      <c r="G48" s="12" t="inlineStr">
        <is>
          <t>Enable ai &amp; automation users to manage ai operations through the AI Command Center workflow with real-time status, validations and traceability.</t>
        </is>
      </c>
      <c r="H4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48" s="12" t="inlineStr">
        <is>
          <t>List, search, filter, view, create, edit, cancel/delete where allowed, export, audit</t>
        </is>
      </c>
      <c r="J48" s="12" t="inlineStr">
        <is>
          <t>AI Admin / System Admin / Supervisor</t>
        </is>
      </c>
      <c r="K48" s="12" t="inlineStr">
        <is>
          <t>Could Have</t>
        </is>
      </c>
      <c r="L48" s="12" t="inlineStr">
        <is>
          <t>11. Portals, Integrations &amp; AI</t>
        </is>
      </c>
      <c r="M48" s="12" t="inlineStr">
        <is>
          <t>S23-S25</t>
        </is>
      </c>
      <c r="N48" s="12" t="inlineStr">
        <is>
          <t>Not Started</t>
        </is>
      </c>
      <c r="O48" s="13">
        <f>IF(N48="Done",1,IF(N48="QA",0.9,IF(N48="Integration",0.75,IF(N48="Frontend",0.55,IF(N48="Backend",0.35,IF(N48="UX/UI",0.1,0))))))</f>
        <v/>
      </c>
      <c r="P48" s="12" t="inlineStr">
        <is>
          <t>Integrations, Communications, PMS APIs</t>
        </is>
      </c>
      <c r="Q48" s="12" t="inlineStr">
        <is>
          <t>Responsive desktop/tablet UI; loading, empty, error and permission states; filters; form validation; accessible interactions</t>
        </is>
      </c>
      <c r="R48" s="12" t="inlineStr">
        <is>
          <t>GET, POST, PUT/PATCH, DELETE /api/v1/ai-command-center; lookup, validation and audit endpoints; idempotency for financial/booking writes</t>
        </is>
      </c>
      <c r="S48" s="12" t="inlineStr">
        <is>
          <t>ai_agents, prompts, knowledge_documents, tool_policies, call_transcripts</t>
        </is>
      </c>
      <c r="T48" s="12" t="inlineStr">
        <is>
          <t>Tenant/property scope; required fields; optimistic locking; timezone-safe dates; reason mandatory for overrides; least privilege; secret masking; versioning; change approval</t>
        </is>
      </c>
      <c r="U48" s="12" t="inlineStr">
        <is>
          <t>Authorized users can complete the primary ai command center workflow; invalid or conflicting actions are blocked with clear messages; saved changes appear in related screens; sensitive changes are auditable.</t>
        </is>
      </c>
      <c r="V48" s="12" t="inlineStr">
        <is>
          <t>RBAC, tenant and property isolation, server-side authorization, audit event for create/update/delete/override; field masking and approval/audit evidence required</t>
        </is>
      </c>
      <c r="W48" s="12" t="n"/>
      <c r="X48" s="14" t="n"/>
      <c r="Y48" s="14" t="n"/>
      <c r="Z48" s="12" t="n"/>
    </row>
    <row r="49" ht="70" customHeight="1" s="43">
      <c r="A49" s="10" t="n">
        <v>120</v>
      </c>
      <c r="B49" s="11" t="inlineStr">
        <is>
          <t>SCR-045</t>
        </is>
      </c>
      <c r="C49" s="12" t="inlineStr">
        <is>
          <t>Completed</t>
        </is>
      </c>
      <c r="D49" s="12" t="inlineStr">
        <is>
          <t>AI &amp; Automation</t>
        </is>
      </c>
      <c r="E49" s="12" t="inlineStr">
        <is>
          <t>Voice Agent</t>
        </is>
      </c>
      <c r="F49" s="12" t="inlineStr">
        <is>
          <t>Voice Agent Configuration</t>
        </is>
      </c>
      <c r="G49" s="12" t="inlineStr">
        <is>
          <t>Enable ai &amp; automation users to manage voice agent through the Voice Agent Configuration workflow with real-time status, validations and traceability.</t>
        </is>
      </c>
      <c r="H49"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49" s="12" t="inlineStr">
        <is>
          <t>List, view, create, edit, activate/deactivate, delete where safe, audit</t>
        </is>
      </c>
      <c r="J49" s="12" t="inlineStr">
        <is>
          <t>AI Admin / System Admin / Supervisor</t>
        </is>
      </c>
      <c r="K49" s="12" t="inlineStr">
        <is>
          <t>Could Have</t>
        </is>
      </c>
      <c r="L49" s="12" t="inlineStr">
        <is>
          <t>11. Portals, Integrations &amp; AI</t>
        </is>
      </c>
      <c r="M49" s="12" t="inlineStr">
        <is>
          <t>S23-S25</t>
        </is>
      </c>
      <c r="N49" s="12" t="inlineStr">
        <is>
          <t>Not Started</t>
        </is>
      </c>
      <c r="O49" s="13">
        <f>IF(N49="Done",1,IF(N49="QA",0.9,IF(N49="Integration",0.75,IF(N49="Frontend",0.55,IF(N49="Backend",0.35,IF(N49="UX/UI",0.1,0))))))</f>
        <v/>
      </c>
      <c r="P49" s="12" t="inlineStr">
        <is>
          <t>Integrations, Communications, PMS APIs</t>
        </is>
      </c>
      <c r="Q49" s="12" t="inlineStr">
        <is>
          <t>Responsive desktop/tablet UI; loading, empty, error and permission states; filters; form validation; accessible interactions</t>
        </is>
      </c>
      <c r="R49" s="12" t="inlineStr">
        <is>
          <t>GET, POST, PUT/PATCH, DELETE /api/v1/voice-agent-configuration; lookup, validation and audit endpoints; idempotency for financial/booking writes</t>
        </is>
      </c>
      <c r="S49" s="12" t="inlineStr">
        <is>
          <t>ai_agents, prompts, knowledge_documents, tool_policies, call_transcripts</t>
        </is>
      </c>
      <c r="T49" s="12" t="inlineStr">
        <is>
          <t>Tenant/property scope; required fields; optimistic locking; timezone-safe dates; reason mandatory for overrides; least privilege; secret masking; versioning; change approval</t>
        </is>
      </c>
      <c r="U49" s="12" t="inlineStr">
        <is>
          <t>Authorized users can complete the primary voice agent configuration workflow; invalid or conflicting actions are blocked with clear messages; saved changes appear in related screens; sensitive changes are auditable.</t>
        </is>
      </c>
      <c r="V49" s="12" t="inlineStr">
        <is>
          <t>RBAC, tenant and property isolation, server-side authorization, audit event for create/update/delete/override; field masking and approval/audit evidence required</t>
        </is>
      </c>
      <c r="W49" s="12" t="n"/>
      <c r="X49" s="14" t="n"/>
      <c r="Y49" s="14" t="n"/>
      <c r="Z49" s="12" t="n"/>
    </row>
    <row r="50" ht="70" customHeight="1" s="43">
      <c r="A50" s="10" t="n">
        <v>121</v>
      </c>
      <c r="B50" s="11" t="inlineStr">
        <is>
          <t>SCR-046</t>
        </is>
      </c>
      <c r="C50" s="12" t="inlineStr">
        <is>
          <t>Completed</t>
        </is>
      </c>
      <c r="D50" s="12" t="inlineStr">
        <is>
          <t>AI &amp; Automation</t>
        </is>
      </c>
      <c r="E50" s="12" t="inlineStr">
        <is>
          <t>Knowledge &amp; Policies</t>
        </is>
      </c>
      <c r="F50" s="12" t="inlineStr">
        <is>
          <t>AI Knowledge Base and Tool Policies</t>
        </is>
      </c>
      <c r="G50" s="12" t="inlineStr">
        <is>
          <t>Enable ai &amp; automation users to manage knowledge &amp; policies through the AI Knowledge Base and Tool Policies workflow with real-time status, validations and traceability.</t>
        </is>
      </c>
      <c r="H5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50" s="12" t="inlineStr">
        <is>
          <t>List, search, filter, view, create, edit, cancel/delete where allowed, export, audit</t>
        </is>
      </c>
      <c r="J50" s="12" t="inlineStr">
        <is>
          <t>AI Admin / System Admin / Supervisor</t>
        </is>
      </c>
      <c r="K50" s="12" t="inlineStr">
        <is>
          <t>Could Have</t>
        </is>
      </c>
      <c r="L50" s="12" t="inlineStr">
        <is>
          <t>11. Portals, Integrations &amp; AI</t>
        </is>
      </c>
      <c r="M50" s="12" t="inlineStr">
        <is>
          <t>S23-S25</t>
        </is>
      </c>
      <c r="N50" s="12" t="inlineStr">
        <is>
          <t>Not Started</t>
        </is>
      </c>
      <c r="O50" s="13">
        <f>IF(N50="Done",1,IF(N50="QA",0.9,IF(N50="Integration",0.75,IF(N50="Frontend",0.55,IF(N50="Backend",0.35,IF(N50="UX/UI",0.1,0))))))</f>
        <v/>
      </c>
      <c r="P50" s="12" t="inlineStr">
        <is>
          <t>Integrations, Communications, PMS APIs</t>
        </is>
      </c>
      <c r="Q50" s="12" t="inlineStr">
        <is>
          <t>Responsive desktop/tablet UI; loading, empty, error and permission states; filters; form validation; accessible interactions</t>
        </is>
      </c>
      <c r="R50" s="12" t="inlineStr">
        <is>
          <t>GET, POST, PUT/PATCH, DELETE /api/v1/ai-knowledge-base-and-tool-policies; lookup, validation and audit endpoints; idempotency for financial/booking writes</t>
        </is>
      </c>
      <c r="S50" s="12" t="inlineStr">
        <is>
          <t>ai_agents, prompts, knowledge_documents, tool_policies, call_transcripts</t>
        </is>
      </c>
      <c r="T50" s="12" t="inlineStr">
        <is>
          <t>Tenant/property scope; required fields; optimistic locking; timezone-safe dates; reason mandatory for overrides; least privilege; secret masking; versioning; change approval</t>
        </is>
      </c>
      <c r="U50" s="12" t="inlineStr">
        <is>
          <t>Authorized users can complete the primary ai knowledge base and tool policies workflow; invalid or conflicting actions are blocked with clear messages; saved changes appear in related screens; sensitive changes are auditable.</t>
        </is>
      </c>
      <c r="V50" s="12" t="inlineStr">
        <is>
          <t>RBAC, tenant and property isolation, server-side authorization, audit event for create/update/delete/override; field masking and approval/audit evidence required</t>
        </is>
      </c>
      <c r="W50" s="12" t="n"/>
      <c r="X50" s="14" t="n"/>
      <c r="Y50" s="14" t="n"/>
      <c r="Z50" s="12" t="n"/>
    </row>
    <row r="51" ht="70" customHeight="1" s="43">
      <c r="A51" s="10" t="n">
        <v>51</v>
      </c>
      <c r="B51" s="11" t="inlineStr">
        <is>
          <t>SCR-047</t>
        </is>
      </c>
      <c r="C51" s="12" t="inlineStr">
        <is>
          <t>Completed</t>
        </is>
      </c>
      <c r="D51" s="12" t="inlineStr">
        <is>
          <t>Communications</t>
        </is>
      </c>
      <c r="E51" s="12" t="inlineStr">
        <is>
          <t>Omnichannel Inbox</t>
        </is>
      </c>
      <c r="F51" s="12" t="inlineStr">
        <is>
          <t>Guest Conversation Inbox</t>
        </is>
      </c>
      <c r="G51" s="12" t="inlineStr">
        <is>
          <t>Enable communications users to manage omnichannel inbox through the Guest Conversation Inbox workflow with real-time status, validations and traceability.</t>
        </is>
      </c>
      <c r="H5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51" s="12" t="inlineStr">
        <is>
          <t>List, search, filter, view, create, edit, cancel/delete where allowed, export, audit</t>
        </is>
      </c>
      <c r="J51" s="12" t="inlineStr">
        <is>
          <t>Guest Relations / Reservations / AI Agent</t>
        </is>
      </c>
      <c r="K51" s="12" t="inlineStr">
        <is>
          <t>Should Have</t>
        </is>
      </c>
      <c r="L51" s="12" t="inlineStr">
        <is>
          <t>4. Guest CRM, Privacy &amp; Communications</t>
        </is>
      </c>
      <c r="M51" s="12" t="inlineStr">
        <is>
          <t>S08-S09</t>
        </is>
      </c>
      <c r="N51" s="12" t="inlineStr">
        <is>
          <t>Not Started</t>
        </is>
      </c>
      <c r="O51" s="13">
        <f>IF(N51="Done",1,IF(N51="QA",0.9,IF(N51="Integration",0.75,IF(N51="Frontend",0.55,IF(N51="Backend",0.35,IF(N51="UX/UI",0.1,0))))))</f>
        <v/>
      </c>
      <c r="P51" s="12" t="inlineStr">
        <is>
          <t>Guests, Reservations, Integrations</t>
        </is>
      </c>
      <c r="Q51" s="12" t="inlineStr">
        <is>
          <t>Responsive desktop/tablet UI; loading, empty, error and permission states; filters; form validation; accessible interactions</t>
        </is>
      </c>
      <c r="R51" s="12" t="inlineStr">
        <is>
          <t>GET, POST, PUT/PATCH, DELETE /api/v1/guest-conversation-inbox; lookup, validation and audit endpoints; idempotency for financial/booking writes</t>
        </is>
      </c>
      <c r="S51" s="12" t="inlineStr">
        <is>
          <t>conversations, messages, templates, delivery_logs</t>
        </is>
      </c>
      <c r="T51" s="12" t="inlineStr">
        <is>
          <t>Tenant/property scope; required fields; optimistic locking; timezone-safe dates; reason mandatory for overrides; valid status transition; linked-record integrity</t>
        </is>
      </c>
      <c r="U51" s="12" t="inlineStr">
        <is>
          <t>Authorized users can complete the primary guest conversation inbox workflow; invalid or conflicting actions are blocked with clear messages; saved changes appear in related screens; sensitive changes are auditable.</t>
        </is>
      </c>
      <c r="V51" s="12" t="inlineStr">
        <is>
          <t>RBAC, tenant and property isolation, server-side authorization, audit event for create/update/delete/override</t>
        </is>
      </c>
      <c r="W51" s="12" t="n"/>
      <c r="X51" s="14" t="n"/>
      <c r="Y51" s="14" t="n"/>
      <c r="Z51" s="12" t="n"/>
    </row>
    <row r="52" ht="70" customHeight="1" s="43">
      <c r="A52" s="10" t="n">
        <v>122</v>
      </c>
      <c r="B52" s="11" t="inlineStr">
        <is>
          <t>SCR-048</t>
        </is>
      </c>
      <c r="C52" s="12" t="inlineStr">
        <is>
          <t>Completed</t>
        </is>
      </c>
      <c r="D52" s="12" t="inlineStr">
        <is>
          <t>Guest Portal</t>
        </is>
      </c>
      <c r="E52" s="12" t="inlineStr">
        <is>
          <t>Mobile Self-Service</t>
        </is>
      </c>
      <c r="F52" s="12" t="inlineStr">
        <is>
          <t>Guest Mobile Portal</t>
        </is>
      </c>
      <c r="G52" s="12" t="inlineStr">
        <is>
          <t>Enable guest portal users to manage mobile self-service through the Guest Mobile Portal workflow with real-time status, validations and traceability.</t>
        </is>
      </c>
      <c r="H5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52" s="12" t="inlineStr">
        <is>
          <t>List, search, filter, view, create, edit, cancel/delete where allowed, export, audit</t>
        </is>
      </c>
      <c r="J52" s="12" t="inlineStr">
        <is>
          <t>Guest / Front Desk Support</t>
        </is>
      </c>
      <c r="K52" s="12" t="inlineStr">
        <is>
          <t>Could Have</t>
        </is>
      </c>
      <c r="L52" s="12" t="inlineStr">
        <is>
          <t>11. Portals, Integrations &amp; AI</t>
        </is>
      </c>
      <c r="M52" s="12" t="inlineStr">
        <is>
          <t>S23-S25</t>
        </is>
      </c>
      <c r="N52" s="12" t="inlineStr">
        <is>
          <t>Not Started</t>
        </is>
      </c>
      <c r="O52" s="13">
        <f>IF(N52="Done",1,IF(N52="QA",0.9,IF(N52="Integration",0.75,IF(N52="Frontend",0.55,IF(N52="Backend",0.35,IF(N52="UX/UI",0.1,0))))))</f>
        <v/>
      </c>
      <c r="P52" s="12" t="inlineStr">
        <is>
          <t>Guests, Reservations, Payments</t>
        </is>
      </c>
      <c r="Q52" s="12" t="inlineStr">
        <is>
          <t>Responsive desktop/tablet UI; loading, empty, error and permission states; filters; form validation; accessible interactions</t>
        </is>
      </c>
      <c r="R52" s="12" t="inlineStr">
        <is>
          <t>GET, POST, PUT/PATCH, DELETE /api/v1/guest-mobile-portal; lookup, validation and audit endpoints; idempotency for financial/booking writes</t>
        </is>
      </c>
      <c r="S52" s="12" t="inlineStr">
        <is>
          <t>portal_sessions, self_checkin_submissions, guest_requests</t>
        </is>
      </c>
      <c r="T52" s="12" t="inlineStr">
        <is>
          <t>Tenant/property scope; required fields; optimistic locking; timezone-safe dates; reason mandatory for overrides; valid status transition; linked-record integrity</t>
        </is>
      </c>
      <c r="U52" s="12" t="inlineStr">
        <is>
          <t>Authorized users can complete the primary guest mobile portal workflow; invalid or conflicting actions are blocked with clear messages; saved changes appear in related screens; sensitive changes are auditable.</t>
        </is>
      </c>
      <c r="V52" s="12" t="inlineStr">
        <is>
          <t>RBAC, tenant and property isolation, server-side authorization, audit event for create/update/delete/override</t>
        </is>
      </c>
      <c r="W52" s="12" t="n"/>
      <c r="X52" s="14" t="n"/>
      <c r="Y52" s="14" t="n"/>
      <c r="Z52" s="12" t="n"/>
    </row>
    <row r="53" ht="70" customHeight="1" s="43">
      <c r="A53" s="10" t="n">
        <v>123</v>
      </c>
      <c r="B53" s="11" t="inlineStr">
        <is>
          <t>SCR-049</t>
        </is>
      </c>
      <c r="C53" s="12" t="inlineStr">
        <is>
          <t>Completed</t>
        </is>
      </c>
      <c r="D53" s="12" t="inlineStr">
        <is>
          <t>Guest Portal</t>
        </is>
      </c>
      <c r="E53" s="12" t="inlineStr">
        <is>
          <t>Digital Arrival</t>
        </is>
      </c>
      <c r="F53" s="12" t="inlineStr">
        <is>
          <t>Guest Self Check-In</t>
        </is>
      </c>
      <c r="G53" s="12" t="inlineStr">
        <is>
          <t>Enable guest portal users to manage digital arrival through the Guest Self Check-In workflow with real-time status, validations and traceability.</t>
        </is>
      </c>
      <c r="H5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53" s="12" t="inlineStr">
        <is>
          <t>List, search, filter, view, create, edit, cancel/delete where allowed, export, audit</t>
        </is>
      </c>
      <c r="J53" s="12" t="inlineStr">
        <is>
          <t>Guest / Front Desk Support</t>
        </is>
      </c>
      <c r="K53" s="12" t="inlineStr">
        <is>
          <t>Could Have</t>
        </is>
      </c>
      <c r="L53" s="12" t="inlineStr">
        <is>
          <t>11. Portals, Integrations &amp; AI</t>
        </is>
      </c>
      <c r="M53" s="12" t="inlineStr">
        <is>
          <t>S23-S25</t>
        </is>
      </c>
      <c r="N53" s="12" t="inlineStr">
        <is>
          <t>Not Started</t>
        </is>
      </c>
      <c r="O53" s="13">
        <f>IF(N53="Done",1,IF(N53="QA",0.9,IF(N53="Integration",0.75,IF(N53="Frontend",0.55,IF(N53="Backend",0.35,IF(N53="UX/UI",0.1,0))))))</f>
        <v/>
      </c>
      <c r="P53" s="12" t="inlineStr">
        <is>
          <t>Guests, Reservations, Payments</t>
        </is>
      </c>
      <c r="Q53" s="12" t="inlineStr">
        <is>
          <t>Responsive desktop/tablet UI; loading, empty, error and permission states; filters; form validation; accessible interactions</t>
        </is>
      </c>
      <c r="R53" s="12" t="inlineStr">
        <is>
          <t>GET, POST, PUT/PATCH, DELETE /api/v1/guest-self-check-in; lookup, validation and audit endpoints; idempotency for financial/booking writes</t>
        </is>
      </c>
      <c r="S53" s="12" t="inlineStr">
        <is>
          <t>portal_sessions, self_checkin_submissions, guest_requests</t>
        </is>
      </c>
      <c r="T53" s="12" t="inlineStr">
        <is>
          <t>Tenant/property scope; required fields; optimistic locking; timezone-safe dates; reason mandatory for overrides; valid status transition; linked-record integrity</t>
        </is>
      </c>
      <c r="U53" s="12" t="inlineStr">
        <is>
          <t>Authorized users can complete the primary guest self check-in workflow; invalid or conflicting actions are blocked with clear messages; saved changes appear in related screens; sensitive changes are auditable.</t>
        </is>
      </c>
      <c r="V53" s="12" t="inlineStr">
        <is>
          <t>RBAC, tenant and property isolation, server-side authorization, audit event for create/update/delete/override</t>
        </is>
      </c>
      <c r="W53" s="12" t="n"/>
      <c r="X53" s="14" t="n"/>
      <c r="Y53" s="14" t="n"/>
      <c r="Z53" s="12" t="n"/>
    </row>
    <row r="54" ht="70" customHeight="1" s="43">
      <c r="A54" s="10" t="n">
        <v>124</v>
      </c>
      <c r="B54" s="11" t="inlineStr">
        <is>
          <t>SCR-050</t>
        </is>
      </c>
      <c r="C54" s="12" t="inlineStr">
        <is>
          <t>Completed</t>
        </is>
      </c>
      <c r="D54" s="12" t="inlineStr">
        <is>
          <t>Partner Portal</t>
        </is>
      </c>
      <c r="E54" s="12" t="inlineStr">
        <is>
          <t>B2B Booking</t>
        </is>
      </c>
      <c r="F54" s="12" t="inlineStr">
        <is>
          <t>Travel Agent and Corporate Portal</t>
        </is>
      </c>
      <c r="G54" s="12" t="inlineStr">
        <is>
          <t>Enable partner portal users to manage b2b booking through the Travel Agent and Corporate Portal workflow with real-time status, validations and traceability.</t>
        </is>
      </c>
      <c r="H54"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54" s="12" t="inlineStr">
        <is>
          <t>List, search, filter, view, create, edit, cancel/delete where allowed, export, audit</t>
        </is>
      </c>
      <c r="J54" s="12" t="inlineStr">
        <is>
          <t>Travel Agent / Corporate Booker / Sales</t>
        </is>
      </c>
      <c r="K54" s="12" t="inlineStr">
        <is>
          <t>Could Have</t>
        </is>
      </c>
      <c r="L54" s="12" t="inlineStr">
        <is>
          <t>11. Portals, Integrations &amp; AI</t>
        </is>
      </c>
      <c r="M54" s="12" t="inlineStr">
        <is>
          <t>S23-S25</t>
        </is>
      </c>
      <c r="N54" s="12" t="inlineStr">
        <is>
          <t>Not Started</t>
        </is>
      </c>
      <c r="O54" s="13">
        <f>IF(N54="Done",1,IF(N54="QA",0.9,IF(N54="Integration",0.75,IF(N54="Frontend",0.55,IF(N54="Backend",0.35,IF(N54="UX/UI",0.1,0))))))</f>
        <v/>
      </c>
      <c r="P54" s="12" t="inlineStr">
        <is>
          <t>Reservations, Rates, Finance</t>
        </is>
      </c>
      <c r="Q54" s="12" t="inlineStr">
        <is>
          <t>Responsive desktop/tablet UI; loading, empty, error and permission states; filters; form validation; accessible interactions</t>
        </is>
      </c>
      <c r="R54" s="12" t="inlineStr">
        <is>
          <t>GET, POST, PUT/PATCH, DELETE /api/v1/travel-agent-and-corporate-portal; lookup, validation and audit endpoints; idempotency for financial/booking writes</t>
        </is>
      </c>
      <c r="S54" s="12" t="inlineStr">
        <is>
          <t>partner_accounts, portal_bookings, commissions</t>
        </is>
      </c>
      <c r="T54" s="12" t="inlineStr">
        <is>
          <t>Tenant/property scope; required fields; optimistic locking; timezone-safe dates; reason mandatory for overrides; valid status transition; linked-record integrity</t>
        </is>
      </c>
      <c r="U54" s="12" t="inlineStr">
        <is>
          <t>Authorized users can complete the primary travel agent and corporate portal workflow; invalid or conflicting actions are blocked with clear messages; saved changes appear in related screens; sensitive changes are auditable.</t>
        </is>
      </c>
      <c r="V54" s="12" t="inlineStr">
        <is>
          <t>RBAC, tenant and property isolation, server-side authorization, audit event for create/update/delete/override</t>
        </is>
      </c>
      <c r="W54" s="12" t="n"/>
      <c r="X54" s="14" t="n"/>
      <c r="Y54" s="14" t="n"/>
      <c r="Z54" s="12" t="n"/>
    </row>
    <row r="55" ht="70" customHeight="1" s="43">
      <c r="A55" s="10" t="n">
        <v>37</v>
      </c>
      <c r="B55" s="11" t="inlineStr">
        <is>
          <t>SCR-051</t>
        </is>
      </c>
      <c r="C55" s="12" t="inlineStr">
        <is>
          <t>Completed</t>
        </is>
      </c>
      <c r="D55" s="12" t="inlineStr">
        <is>
          <t>Reservations</t>
        </is>
      </c>
      <c r="E55" s="12" t="inlineStr">
        <is>
          <t>No-Show</t>
        </is>
      </c>
      <c r="F55" s="12" t="inlineStr">
        <is>
          <t>No-Show Processing</t>
        </is>
      </c>
      <c r="G55" s="12" t="inlineStr">
        <is>
          <t>Enable reservations users to manage no-show through the No-Show Processing workflow with real-time status, validations and traceability.</t>
        </is>
      </c>
      <c r="H55" s="12" t="inlineStr">
        <is>
          <t>Provide role-aware search, view, validate, process, reverse with approval, audit; support search and filters; validate mandatory fields and business conflicts; persist changes atomically; refresh related availability, balances or task status; record user, timestamp and reason for sensitive changes.</t>
        </is>
      </c>
      <c r="I55" s="12" t="inlineStr">
        <is>
          <t>Search, view, validate, process, reverse with approval, audit</t>
        </is>
      </c>
      <c r="J55" s="12" t="inlineStr">
        <is>
          <t>Reservation Manager / Agent / Front Desk</t>
        </is>
      </c>
      <c r="K55" s="12" t="inlineStr">
        <is>
          <t>Must Have</t>
        </is>
      </c>
      <c r="L55" s="12" t="inlineStr">
        <is>
          <t>3. Reservations, Groups &amp; Front Desk</t>
        </is>
      </c>
      <c r="M55" s="12" t="inlineStr">
        <is>
          <t>S05-S07</t>
        </is>
      </c>
      <c r="N55" s="12" t="inlineStr">
        <is>
          <t>Not Started</t>
        </is>
      </c>
      <c r="O55" s="13">
        <f>IF(N55="Done",1,IF(N55="QA",0.9,IF(N55="Integration",0.75,IF(N55="Frontend",0.55,IF(N55="Backend",0.35,IF(N55="UX/UI",0.1,0))))))</f>
        <v/>
      </c>
      <c r="P55" s="12" t="inlineStr">
        <is>
          <t>Rooms, Rates, Guests, Payments</t>
        </is>
      </c>
      <c r="Q55" s="12" t="inlineStr">
        <is>
          <t>Responsive desktop/tablet UI; loading, empty, error and permission states; filters; form validation; accessible interactions</t>
        </is>
      </c>
      <c r="R55" s="12" t="inlineStr">
        <is>
          <t>GET, POST/PATCH /api/v1/no-show-processing; lookup, validation and audit endpoints; idempotency for financial/booking writes</t>
        </is>
      </c>
      <c r="S55" s="12" t="inlineStr">
        <is>
          <t>reservations, reservation_guests, reservation_items, deposits</t>
        </is>
      </c>
      <c r="T55" s="12" t="inlineStr">
        <is>
          <t>Tenant/property scope; required fields; optimistic locking; timezone-safe dates; reason mandatory for overrides; availability and overlap check; status-transition rules; cancellation policy</t>
        </is>
      </c>
      <c r="U55" s="12" t="inlineStr">
        <is>
          <t>Authorized users can complete the primary no-show processing workflow; invalid or conflicting actions are blocked with clear messages; saved changes appear in related screens; sensitive changes are auditable.</t>
        </is>
      </c>
      <c r="V55" s="12" t="inlineStr">
        <is>
          <t>RBAC, tenant and property isolation, server-side authorization, audit event for create/update/delete/override</t>
        </is>
      </c>
      <c r="W55" s="12" t="n"/>
      <c r="X55" s="14" t="n"/>
      <c r="Y55" s="14" t="n"/>
      <c r="Z55" s="12" t="n"/>
    </row>
    <row r="56" ht="70" customHeight="1" s="43">
      <c r="A56" s="10" t="n">
        <v>38</v>
      </c>
      <c r="B56" s="11" t="inlineStr">
        <is>
          <t>SCR-052</t>
        </is>
      </c>
      <c r="C56" s="12" t="inlineStr">
        <is>
          <t>Completed</t>
        </is>
      </c>
      <c r="D56" s="12" t="inlineStr">
        <is>
          <t>Reservations</t>
        </is>
      </c>
      <c r="E56" s="12" t="inlineStr">
        <is>
          <t>Data Quality</t>
        </is>
      </c>
      <c r="F56" s="12" t="inlineStr">
        <is>
          <t>Duplicate Reservation</t>
        </is>
      </c>
      <c r="G56" s="12" t="inlineStr">
        <is>
          <t>Enable reservations users to manage data quality through the Duplicate Reservation workflow with real-time status, validations and traceability.</t>
        </is>
      </c>
      <c r="H5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56" s="12" t="inlineStr">
        <is>
          <t>List, search, filter, view, create, edit, cancel/delete where allowed, export, audit</t>
        </is>
      </c>
      <c r="J56" s="12" t="inlineStr">
        <is>
          <t>Reservation Manager / Agent / Front Desk</t>
        </is>
      </c>
      <c r="K56" s="12" t="inlineStr">
        <is>
          <t>Must Have</t>
        </is>
      </c>
      <c r="L56" s="12" t="inlineStr">
        <is>
          <t>3. Reservations, Groups &amp; Front Desk</t>
        </is>
      </c>
      <c r="M56" s="12" t="inlineStr">
        <is>
          <t>S05-S07</t>
        </is>
      </c>
      <c r="N56" s="12" t="inlineStr">
        <is>
          <t>Not Started</t>
        </is>
      </c>
      <c r="O56" s="13">
        <f>IF(N56="Done",1,IF(N56="QA",0.9,IF(N56="Integration",0.75,IF(N56="Frontend",0.55,IF(N56="Backend",0.35,IF(N56="UX/UI",0.1,0))))))</f>
        <v/>
      </c>
      <c r="P56" s="12" t="inlineStr">
        <is>
          <t>Rooms, Rates, Guests, Payments</t>
        </is>
      </c>
      <c r="Q56" s="12" t="inlineStr">
        <is>
          <t>Responsive desktop/tablet UI; loading, empty, error and permission states; filters; form validation; accessible interactions</t>
        </is>
      </c>
      <c r="R56" s="12" t="inlineStr">
        <is>
          <t>GET, POST, PUT/PATCH, DELETE /api/v1/duplicate-reservation; lookup, validation and audit endpoints; idempotency for financial/booking writes</t>
        </is>
      </c>
      <c r="S56" s="12" t="inlineStr">
        <is>
          <t>reservations, reservation_guests, reservation_items, deposits</t>
        </is>
      </c>
      <c r="T56" s="12" t="inlineStr">
        <is>
          <t>Tenant/property scope; required fields; optimistic locking; timezone-safe dates; reason mandatory for overrides; availability and overlap check; status-transition rules; cancellation policy</t>
        </is>
      </c>
      <c r="U56" s="12" t="inlineStr">
        <is>
          <t>Authorized users can complete the primary duplicate reservation workflow; invalid or conflicting actions are blocked with clear messages; saved changes appear in related screens; sensitive changes are auditable.</t>
        </is>
      </c>
      <c r="V56" s="12" t="inlineStr">
        <is>
          <t>RBAC, tenant and property isolation, server-side authorization, audit event for create/update/delete/override</t>
        </is>
      </c>
      <c r="W56" s="12" t="n"/>
      <c r="X56" s="14" t="n"/>
      <c r="Y56" s="14" t="n"/>
      <c r="Z56" s="12" t="n"/>
    </row>
    <row r="57" ht="70" customHeight="1" s="43">
      <c r="A57" s="10" t="n">
        <v>39</v>
      </c>
      <c r="B57" s="11" t="inlineStr">
        <is>
          <t>SCR-053</t>
        </is>
      </c>
      <c r="C57" s="12" t="inlineStr">
        <is>
          <t>Completed</t>
        </is>
      </c>
      <c r="D57" s="12" t="inlineStr">
        <is>
          <t>Front Desk</t>
        </is>
      </c>
      <c r="E57" s="12" t="inlineStr">
        <is>
          <t>In-Stay Movement</t>
        </is>
      </c>
      <c r="F57" s="12" t="inlineStr">
        <is>
          <t>Room Move and Upgrade</t>
        </is>
      </c>
      <c r="G57" s="12" t="inlineStr">
        <is>
          <t>Enable front desk users to manage in-stay movement through the Room Move and Upgrade workflow with real-time status, validations and traceability.</t>
        </is>
      </c>
      <c r="H57"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57" s="12" t="inlineStr">
        <is>
          <t>List, search, filter, view, create, edit, cancel/delete where allowed, export, audit</t>
        </is>
      </c>
      <c r="J57" s="12" t="inlineStr">
        <is>
          <t>Front Office Manager / Receptionist / Cashier</t>
        </is>
      </c>
      <c r="K57" s="12" t="inlineStr">
        <is>
          <t>Must Have</t>
        </is>
      </c>
      <c r="L57" s="12" t="inlineStr">
        <is>
          <t>3. Reservations, Groups &amp; Front Desk</t>
        </is>
      </c>
      <c r="M57" s="12" t="inlineStr">
        <is>
          <t>S05-S07</t>
        </is>
      </c>
      <c r="N57" s="12" t="inlineStr">
        <is>
          <t>Not Started</t>
        </is>
      </c>
      <c r="O57" s="13">
        <f>IF(N57="Done",1,IF(N57="QA",0.9,IF(N57="Integration",0.75,IF(N57="Frontend",0.55,IF(N57="Backend",0.35,IF(N57="UX/UI",0.1,0))))))</f>
        <v/>
      </c>
      <c r="P57" s="12" t="inlineStr">
        <is>
          <t>Reservations, Rooms, Finance</t>
        </is>
      </c>
      <c r="Q57" s="12" t="inlineStr">
        <is>
          <t>Responsive desktop/tablet UI; loading, empty, error and permission states; filters; form validation; accessible interactions</t>
        </is>
      </c>
      <c r="R57" s="12" t="inlineStr">
        <is>
          <t>GET, POST, PUT/PATCH, DELETE /api/v1/room-move-and-upgrade; lookup, validation and audit endpoints; idempotency for financial/booking writes</t>
        </is>
      </c>
      <c r="S57" s="12" t="inlineStr">
        <is>
          <t>stays, room_assignments, folios, keys</t>
        </is>
      </c>
      <c r="T57" s="12" t="inlineStr">
        <is>
          <t>Tenant/property scope; required fields; optimistic locking; timezone-safe dates; reason mandatory for overrides; availability and overlap check; status-transition rules; cancellation policy</t>
        </is>
      </c>
      <c r="U57" s="12" t="inlineStr">
        <is>
          <t>Authorized users can complete the primary room move and upgrade workflow; invalid or conflicting actions are blocked with clear messages; saved changes appear in related screens; sensitive changes are auditable.</t>
        </is>
      </c>
      <c r="V57" s="12" t="inlineStr">
        <is>
          <t>RBAC, tenant and property isolation, server-side authorization, audit event for create/update/delete/override</t>
        </is>
      </c>
      <c r="W57" s="12" t="n"/>
      <c r="X57" s="14" t="n"/>
      <c r="Y57" s="14" t="n"/>
      <c r="Z57" s="12" t="n"/>
    </row>
    <row r="58" ht="70" customHeight="1" s="43">
      <c r="A58" s="10" t="n">
        <v>40</v>
      </c>
      <c r="B58" s="11" t="inlineStr">
        <is>
          <t>SCR-054</t>
        </is>
      </c>
      <c r="C58" s="12" t="inlineStr">
        <is>
          <t>Completed</t>
        </is>
      </c>
      <c r="D58" s="12" t="inlineStr">
        <is>
          <t>Reservations</t>
        </is>
      </c>
      <c r="E58" s="12" t="inlineStr">
        <is>
          <t>Booking Modification</t>
        </is>
      </c>
      <c r="F58" s="12" t="inlineStr">
        <is>
          <t>Split Reservation</t>
        </is>
      </c>
      <c r="G58" s="12" t="inlineStr">
        <is>
          <t>Enable reservations users to manage booking modification through the Split Reservation workflow with real-time status, validations and traceability.</t>
        </is>
      </c>
      <c r="H58" s="12" t="inlineStr">
        <is>
          <t>Provide role-aware view, select lines/guests, split, rebalance, confirm, audit; support search and filters; validate mandatory fields and business conflicts; persist changes atomically; refresh related availability, balances or task status; record user, timestamp and reason for sensitive changes.</t>
        </is>
      </c>
      <c r="I58" s="12" t="inlineStr">
        <is>
          <t>View, select lines/guests, split, rebalance, confirm, audit</t>
        </is>
      </c>
      <c r="J58" s="12" t="inlineStr">
        <is>
          <t>Reservation Manager / Agent / Front Desk</t>
        </is>
      </c>
      <c r="K58" s="12" t="inlineStr">
        <is>
          <t>Must Have</t>
        </is>
      </c>
      <c r="L58" s="12" t="inlineStr">
        <is>
          <t>3. Reservations, Groups &amp; Front Desk</t>
        </is>
      </c>
      <c r="M58" s="12" t="inlineStr">
        <is>
          <t>S05-S07</t>
        </is>
      </c>
      <c r="N58" s="12" t="inlineStr">
        <is>
          <t>Not Started</t>
        </is>
      </c>
      <c r="O58" s="13">
        <f>IF(N58="Done",1,IF(N58="QA",0.9,IF(N58="Integration",0.75,IF(N58="Frontend",0.55,IF(N58="Backend",0.35,IF(N58="UX/UI",0.1,0))))))</f>
        <v/>
      </c>
      <c r="P58" s="12" t="inlineStr">
        <is>
          <t>Rooms, Rates, Guests, Payments</t>
        </is>
      </c>
      <c r="Q58" s="12" t="inlineStr">
        <is>
          <t>Responsive desktop/tablet UI; loading, empty, error and permission states; filters; form validation; accessible interactions</t>
        </is>
      </c>
      <c r="R58" s="12" t="inlineStr">
        <is>
          <t>GET, POST/PATCH /api/v1/split-reservation; lookup, validation and audit endpoints; idempotency for financial/booking writes</t>
        </is>
      </c>
      <c r="S58" s="12" t="inlineStr">
        <is>
          <t>reservations, reservation_guests, reservation_items, deposits</t>
        </is>
      </c>
      <c r="T58" s="12" t="inlineStr">
        <is>
          <t>Tenant/property scope; required fields; optimistic locking; timezone-safe dates; reason mandatory for overrides; availability and overlap check; status-transition rules; cancellation policy</t>
        </is>
      </c>
      <c r="U58" s="12" t="inlineStr">
        <is>
          <t>Authorized users can complete the primary split reservation workflow; invalid or conflicting actions are blocked with clear messages; saved changes appear in related screens; sensitive changes are auditable.</t>
        </is>
      </c>
      <c r="V58" s="12" t="inlineStr">
        <is>
          <t>RBAC, tenant and property isolation, server-side authorization, audit event for create/update/delete/override</t>
        </is>
      </c>
      <c r="W58" s="12" t="n"/>
      <c r="X58" s="14" t="n"/>
      <c r="Y58" s="14" t="n"/>
      <c r="Z58" s="12" t="n"/>
    </row>
    <row r="59" ht="70" customHeight="1" s="43">
      <c r="A59" s="10" t="n">
        <v>41</v>
      </c>
      <c r="B59" s="11" t="inlineStr">
        <is>
          <t>SCR-055</t>
        </is>
      </c>
      <c r="C59" s="12" t="inlineStr">
        <is>
          <t>Completed</t>
        </is>
      </c>
      <c r="D59" s="12" t="inlineStr">
        <is>
          <t>Reservations</t>
        </is>
      </c>
      <c r="E59" s="12" t="inlineStr">
        <is>
          <t>Booking Modification</t>
        </is>
      </c>
      <c r="F59" s="12" t="inlineStr">
        <is>
          <t>Merge Reservations</t>
        </is>
      </c>
      <c r="G59" s="12" t="inlineStr">
        <is>
          <t>Enable reservations users to manage booking modification through the Merge Reservations workflow with real-time status, validations and traceability.</t>
        </is>
      </c>
      <c r="H59" s="12" t="inlineStr">
        <is>
          <t>Provide role-aware search, compare, select survivor, merge, undo where allowed, audit; support search and filters; validate mandatory fields and business conflicts; persist changes atomically; refresh related availability, balances or task status; record user, timestamp and reason for sensitive changes.</t>
        </is>
      </c>
      <c r="I59" s="12" t="inlineStr">
        <is>
          <t>Search, compare, select survivor, merge, undo where allowed, audit</t>
        </is>
      </c>
      <c r="J59" s="12" t="inlineStr">
        <is>
          <t>Reservation Manager / Agent / Front Desk</t>
        </is>
      </c>
      <c r="K59" s="12" t="inlineStr">
        <is>
          <t>Must Have</t>
        </is>
      </c>
      <c r="L59" s="12" t="inlineStr">
        <is>
          <t>3. Reservations, Groups &amp; Front Desk</t>
        </is>
      </c>
      <c r="M59" s="12" t="inlineStr">
        <is>
          <t>S05-S07</t>
        </is>
      </c>
      <c r="N59" s="12" t="inlineStr">
        <is>
          <t>Not Started</t>
        </is>
      </c>
      <c r="O59" s="13">
        <f>IF(N59="Done",1,IF(N59="QA",0.9,IF(N59="Integration",0.75,IF(N59="Frontend",0.55,IF(N59="Backend",0.35,IF(N59="UX/UI",0.1,0))))))</f>
        <v/>
      </c>
      <c r="P59" s="12" t="inlineStr">
        <is>
          <t>Rooms, Rates, Guests, Payments</t>
        </is>
      </c>
      <c r="Q59" s="12" t="inlineStr">
        <is>
          <t>Responsive desktop/tablet UI; loading, empty, error and permission states; filters; form validation; accessible interactions</t>
        </is>
      </c>
      <c r="R59" s="12" t="inlineStr">
        <is>
          <t>GET, POST/PATCH /api/v1/merge-reservations; lookup, validation and audit endpoints; idempotency for financial/booking writes</t>
        </is>
      </c>
      <c r="S59" s="12" t="inlineStr">
        <is>
          <t>reservations, reservation_guests, reservation_items, deposits</t>
        </is>
      </c>
      <c r="T59" s="12" t="inlineStr">
        <is>
          <t>Tenant/property scope; required fields; optimistic locking; timezone-safe dates; reason mandatory for overrides; availability and overlap check; status-transition rules; cancellation policy</t>
        </is>
      </c>
      <c r="U59" s="12" t="inlineStr">
        <is>
          <t>Authorized users can complete the primary merge reservations workflow; invalid or conflicting actions are blocked with clear messages; saved changes appear in related screens; sensitive changes are auditable.</t>
        </is>
      </c>
      <c r="V59" s="12" t="inlineStr">
        <is>
          <t>RBAC, tenant and property isolation, server-side authorization, audit event for create/update/delete/override</t>
        </is>
      </c>
      <c r="W59" s="12" t="n"/>
      <c r="X59" s="14" t="n"/>
      <c r="Y59" s="14" t="n"/>
      <c r="Z59" s="12" t="n"/>
    </row>
    <row r="60" ht="70" customHeight="1" s="43">
      <c r="A60" s="10" t="n">
        <v>42</v>
      </c>
      <c r="B60" s="11" t="inlineStr">
        <is>
          <t>SCR-056</t>
        </is>
      </c>
      <c r="C60" s="12" t="inlineStr">
        <is>
          <t>Completed</t>
        </is>
      </c>
      <c r="D60" s="12" t="inlineStr">
        <is>
          <t>Reservations</t>
        </is>
      </c>
      <c r="E60" s="12" t="inlineStr">
        <is>
          <t>Notes &amp; Tasks</t>
        </is>
      </c>
      <c r="F60" s="12" t="inlineStr">
        <is>
          <t>Reservation Notes and Tasks</t>
        </is>
      </c>
      <c r="G60" s="12" t="inlineStr">
        <is>
          <t>Enable reservations users to manage notes &amp; tasks through the Reservation Notes and Tasks workflow with real-time status, validations and traceability.</t>
        </is>
      </c>
      <c r="H6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60" s="12" t="inlineStr">
        <is>
          <t>List, search, filter, view, create, edit, cancel/delete where allowed, export, audit</t>
        </is>
      </c>
      <c r="J60" s="12" t="inlineStr">
        <is>
          <t>Reservation Manager / Agent / Front Desk</t>
        </is>
      </c>
      <c r="K60" s="12" t="inlineStr">
        <is>
          <t>Must Have</t>
        </is>
      </c>
      <c r="L60" s="12" t="inlineStr">
        <is>
          <t>3. Reservations, Groups &amp; Front Desk</t>
        </is>
      </c>
      <c r="M60" s="12" t="inlineStr">
        <is>
          <t>S05-S07</t>
        </is>
      </c>
      <c r="N60" s="12" t="inlineStr">
        <is>
          <t>Not Started</t>
        </is>
      </c>
      <c r="O60" s="13">
        <f>IF(N60="Done",1,IF(N60="QA",0.9,IF(N60="Integration",0.75,IF(N60="Frontend",0.55,IF(N60="Backend",0.35,IF(N60="UX/UI",0.1,0))))))</f>
        <v/>
      </c>
      <c r="P60" s="12" t="inlineStr">
        <is>
          <t>Rooms, Rates, Guests, Payments</t>
        </is>
      </c>
      <c r="Q60" s="12" t="inlineStr">
        <is>
          <t>Responsive desktop/tablet UI; loading, empty, error and permission states; filters; form validation; accessible interactions</t>
        </is>
      </c>
      <c r="R60" s="12" t="inlineStr">
        <is>
          <t>GET, POST, PUT/PATCH, DELETE /api/v1/reservation-notes-and-tasks; lookup, validation and audit endpoints; idempotency for financial/booking writes</t>
        </is>
      </c>
      <c r="S60" s="12" t="inlineStr">
        <is>
          <t>reservations, reservation_guests, reservation_items, deposits</t>
        </is>
      </c>
      <c r="T60" s="12" t="inlineStr">
        <is>
          <t>Tenant/property scope; required fields; optimistic locking; timezone-safe dates; reason mandatory for overrides; availability and overlap check; status-transition rules; cancellation policy</t>
        </is>
      </c>
      <c r="U60" s="12" t="inlineStr">
        <is>
          <t>Authorized users can complete the primary reservation notes and tasks workflow; invalid or conflicting actions are blocked with clear messages; saved changes appear in related screens; sensitive changes are auditable.</t>
        </is>
      </c>
      <c r="V60" s="12" t="inlineStr">
        <is>
          <t>RBAC, tenant and property isolation, server-side authorization, audit event for create/update/delete/override</t>
        </is>
      </c>
      <c r="W60" s="12" t="n"/>
      <c r="X60" s="14" t="n"/>
      <c r="Y60" s="14" t="n"/>
      <c r="Z60" s="12" t="n"/>
    </row>
    <row r="61" ht="70" customHeight="1" s="43">
      <c r="A61" s="10" t="n">
        <v>43</v>
      </c>
      <c r="B61" s="11" t="inlineStr">
        <is>
          <t>SCR-057</t>
        </is>
      </c>
      <c r="C61" s="12" t="inlineStr">
        <is>
          <t>Completed</t>
        </is>
      </c>
      <c r="D61" s="12" t="inlineStr">
        <is>
          <t>Reservations</t>
        </is>
      </c>
      <c r="E61" s="12" t="inlineStr">
        <is>
          <t>Ancillary Sales</t>
        </is>
      </c>
      <c r="F61" s="12" t="inlineStr">
        <is>
          <t>Reservation Add-ons</t>
        </is>
      </c>
      <c r="G61" s="12" t="inlineStr">
        <is>
          <t>Enable reservations users to manage ancillary sales through the Reservation Add-ons workflow with real-time status, validations and traceability.</t>
        </is>
      </c>
      <c r="H6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61" s="12" t="inlineStr">
        <is>
          <t>List, search, filter, view, create, edit, cancel/delete where allowed, export, audit</t>
        </is>
      </c>
      <c r="J61" s="12" t="inlineStr">
        <is>
          <t>Reservation Manager / Agent / Front Desk</t>
        </is>
      </c>
      <c r="K61" s="12" t="inlineStr">
        <is>
          <t>Must Have</t>
        </is>
      </c>
      <c r="L61" s="12" t="inlineStr">
        <is>
          <t>3. Reservations, Groups &amp; Front Desk</t>
        </is>
      </c>
      <c r="M61" s="12" t="inlineStr">
        <is>
          <t>S05-S07</t>
        </is>
      </c>
      <c r="N61" s="12" t="inlineStr">
        <is>
          <t>Not Started</t>
        </is>
      </c>
      <c r="O61" s="13">
        <f>IF(N61="Done",1,IF(N61="QA",0.9,IF(N61="Integration",0.75,IF(N61="Frontend",0.55,IF(N61="Backend",0.35,IF(N61="UX/UI",0.1,0))))))</f>
        <v/>
      </c>
      <c r="P61" s="12" t="inlineStr">
        <is>
          <t>Rooms, Rates, Guests, Payments</t>
        </is>
      </c>
      <c r="Q61" s="12" t="inlineStr">
        <is>
          <t>Responsive desktop/tablet UI; loading, empty, error and permission states; filters; form validation; accessible interactions</t>
        </is>
      </c>
      <c r="R61" s="12" t="inlineStr">
        <is>
          <t>GET, POST, PUT/PATCH, DELETE /api/v1/reservation-add-ons; lookup, validation and audit endpoints; idempotency for financial/booking writes</t>
        </is>
      </c>
      <c r="S61" s="12" t="inlineStr">
        <is>
          <t>reservations, reservation_guests, reservation_items, deposits</t>
        </is>
      </c>
      <c r="T61" s="12" t="inlineStr">
        <is>
          <t>Tenant/property scope; required fields; optimistic locking; timezone-safe dates; reason mandatory for overrides; availability and overlap check; status-transition rules; cancellation policy</t>
        </is>
      </c>
      <c r="U61" s="12" t="inlineStr">
        <is>
          <t>Authorized users can complete the primary reservation add-ons workflow; invalid or conflicting actions are blocked with clear messages; saved changes appear in related screens; sensitive changes are auditable.</t>
        </is>
      </c>
      <c r="V61" s="12" t="inlineStr">
        <is>
          <t>RBAC, tenant and property isolation, server-side authorization, audit event for create/update/delete/override</t>
        </is>
      </c>
      <c r="W61" s="12" t="n"/>
      <c r="X61" s="14" t="n"/>
      <c r="Y61" s="14" t="n"/>
      <c r="Z61" s="12" t="n"/>
    </row>
    <row r="62" ht="70" customHeight="1" s="43">
      <c r="A62" s="10" t="n">
        <v>22</v>
      </c>
      <c r="B62" s="11" t="inlineStr">
        <is>
          <t>SCR-058</t>
        </is>
      </c>
      <c r="C62" s="12" t="inlineStr">
        <is>
          <t>Completed</t>
        </is>
      </c>
      <c r="D62" s="12" t="inlineStr">
        <is>
          <t>Finance</t>
        </is>
      </c>
      <c r="E62" s="12" t="inlineStr">
        <is>
          <t>Deposits</t>
        </is>
      </c>
      <c r="F62" s="12" t="inlineStr">
        <is>
          <t>Deposit Schedule</t>
        </is>
      </c>
      <c r="G62" s="12" t="inlineStr">
        <is>
          <t>Enable finance users to manage deposits through the Deposit Schedule workflow with real-time status, validations and traceability.</t>
        </is>
      </c>
      <c r="H62" s="12" t="inlineStr">
        <is>
          <t>Provide role-aware view timeline, filter, create, assign, reschedule, conflict-check, cancel; support search and filters; validate mandatory fields and business conflicts; persist changes atomically; refresh related availability, balances or task status; record user, timestamp and reason for sensitive changes.</t>
        </is>
      </c>
      <c r="I62" s="12" t="inlineStr">
        <is>
          <t>View timeline, filter, create, assign, reschedule, conflict-check, cancel</t>
        </is>
      </c>
      <c r="J62" s="12" t="inlineStr">
        <is>
          <t>Finance Manager / Night Auditor / Cashier</t>
        </is>
      </c>
      <c r="K62" s="12" t="inlineStr">
        <is>
          <t>Must Have</t>
        </is>
      </c>
      <c r="L62" s="12" t="inlineStr">
        <is>
          <t>2. Inventory, Rates &amp; Distribution Foundation</t>
        </is>
      </c>
      <c r="M62" s="12" t="inlineStr">
        <is>
          <t>S03-S04</t>
        </is>
      </c>
      <c r="N62" s="12" t="inlineStr">
        <is>
          <t>Not Started</t>
        </is>
      </c>
      <c r="O62" s="13">
        <f>IF(N62="Done",1,IF(N62="QA",0.9,IF(N62="Integration",0.75,IF(N62="Frontend",0.55,IF(N62="Backend",0.35,IF(N62="UX/UI",0.1,0))))))</f>
        <v/>
      </c>
      <c r="P62" s="12" t="inlineStr">
        <is>
          <t>All revenue modules</t>
        </is>
      </c>
      <c r="Q62" s="12" t="inlineStr">
        <is>
          <t>Responsive desktop/tablet UI; loading, empty, error and permission states; filters; form validation; accessible interactions</t>
        </is>
      </c>
      <c r="R62" s="12" t="inlineStr">
        <is>
          <t>GET, POST, PUT/PATCH, DELETE /api/v1/deposit-schedule; lookup, validation and audit endpoints; idempotency for financial/booking writes</t>
        </is>
      </c>
      <c r="S62" s="12" t="inlineStr">
        <is>
          <t>folios, payments, refunds, invoices, credit_notes, cash_drawers, taxes, receivables</t>
        </is>
      </c>
      <c r="T62" s="12" t="inlineStr">
        <is>
          <t>Tenant/property scope; required fields; optimistic locking; timezone-safe dates; reason mandatory for overrides; currency precision; tax/rate totals; approval limit; no unbalanced or duplicate posting</t>
        </is>
      </c>
      <c r="U62" s="12" t="inlineStr">
        <is>
          <t>Authorized users can complete the primary deposit schedule workflow; invalid or conflicting actions are blocked with clear messages; saved changes appear in related screens; sensitive changes are auditable.</t>
        </is>
      </c>
      <c r="V62" s="12" t="inlineStr">
        <is>
          <t>RBAC, tenant and property isolation, server-side authorization, audit event for create/update/delete/override; field masking and approval/audit evidence required</t>
        </is>
      </c>
      <c r="W62" s="12" t="n"/>
      <c r="X62" s="14" t="n"/>
      <c r="Y62" s="14" t="n"/>
      <c r="Z62" s="12" t="n"/>
    </row>
    <row r="63" ht="70" customHeight="1" s="43">
      <c r="A63" s="10" t="n">
        <v>7</v>
      </c>
      <c r="B63" s="11" t="inlineStr">
        <is>
          <t>SCR-059</t>
        </is>
      </c>
      <c r="C63" s="12" t="inlineStr">
        <is>
          <t>Completed</t>
        </is>
      </c>
      <c r="D63" s="12" t="inlineStr">
        <is>
          <t>Property &amp; Rooms</t>
        </is>
      </c>
      <c r="E63" s="12" t="inlineStr">
        <is>
          <t>Room Master</t>
        </is>
      </c>
      <c r="F63" s="12" t="inlineStr">
        <is>
          <t>Add or Edit Room</t>
        </is>
      </c>
      <c r="G63" s="12" t="inlineStr">
        <is>
          <t>Enable property &amp; rooms users to manage room master through the Add or Edit Room workflow with real-time status, validations and traceability.</t>
        </is>
      </c>
      <c r="H63"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63" s="12" t="inlineStr">
        <is>
          <t>List, view, create, edit, activate/deactivate, delete where safe, audit</t>
        </is>
      </c>
      <c r="J63" s="12" t="inlineStr">
        <is>
          <t>Property Admin / Front Office / Housekeeping</t>
        </is>
      </c>
      <c r="K63" s="12" t="inlineStr">
        <is>
          <t>Must Have</t>
        </is>
      </c>
      <c r="L63" s="12" t="inlineStr">
        <is>
          <t>1. Core Platform, Security &amp; Masters</t>
        </is>
      </c>
      <c r="M63" s="12" t="inlineStr">
        <is>
          <t>S01-S02</t>
        </is>
      </c>
      <c r="N63" s="12" t="inlineStr">
        <is>
          <t>Not Started</t>
        </is>
      </c>
      <c r="O63" s="13">
        <f>IF(N63="Done",1,IF(N63="QA",0.9,IF(N63="Integration",0.75,IF(N63="Frontend",0.55,IF(N63="Backend",0.35,IF(N63="UX/UI",0.1,0))))))</f>
        <v/>
      </c>
      <c r="P63" s="12" t="inlineStr">
        <is>
          <t>Administration</t>
        </is>
      </c>
      <c r="Q63" s="12" t="inlineStr">
        <is>
          <t>Responsive desktop/tablet UI; loading, empty, error and permission states; filters; form validation; accessible interactions</t>
        </is>
      </c>
      <c r="R63" s="12" t="inlineStr">
        <is>
          <t>GET, POST, PUT/PATCH, DELETE /api/v1/add-or-edit-room; lookup, validation and audit endpoints; idempotency for financial/booking writes</t>
        </is>
      </c>
      <c r="S63" s="12" t="inlineStr">
        <is>
          <t>properties, buildings, floors, room_types, rooms, amenities</t>
        </is>
      </c>
      <c r="T63" s="12" t="inlineStr">
        <is>
          <t>Tenant/property scope; required fields; optimistic locking; timezone-safe dates; reason mandatory for overrides; valid status transition; linked-record integrity</t>
        </is>
      </c>
      <c r="U63" s="12" t="inlineStr">
        <is>
          <t>Authorized users can complete the primary add or edit room workflow; invalid or conflicting actions are blocked with clear messages; saved changes appear in related screens; sensitive changes are auditable.</t>
        </is>
      </c>
      <c r="V63" s="12" t="inlineStr">
        <is>
          <t>RBAC, tenant and property isolation, server-side authorization, audit event for create/update/delete/override</t>
        </is>
      </c>
      <c r="W63" s="12" t="n"/>
      <c r="X63" s="14" t="n"/>
      <c r="Y63" s="14" t="n"/>
      <c r="Z63" s="12" t="n"/>
    </row>
    <row r="64" ht="70" customHeight="1" s="43">
      <c r="A64" s="10" t="n">
        <v>8</v>
      </c>
      <c r="B64" s="11" t="inlineStr">
        <is>
          <t>SCR-060</t>
        </is>
      </c>
      <c r="C64" s="12" t="inlineStr">
        <is>
          <t>Completed</t>
        </is>
      </c>
      <c r="D64" s="12" t="inlineStr">
        <is>
          <t>Property &amp; Rooms</t>
        </is>
      </c>
      <c r="E64" s="12" t="inlineStr">
        <is>
          <t>Room Type Master</t>
        </is>
      </c>
      <c r="F64" s="12" t="inlineStr">
        <is>
          <t>Room Type Management</t>
        </is>
      </c>
      <c r="G64" s="12" t="inlineStr">
        <is>
          <t>Enable property &amp; rooms users to manage room type master through the Room Type Management workflow with real-time status, validations and traceability.</t>
        </is>
      </c>
      <c r="H64"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64" s="12" t="inlineStr">
        <is>
          <t>List, view, create, edit, activate/deactivate, delete where safe, audit</t>
        </is>
      </c>
      <c r="J64" s="12" t="inlineStr">
        <is>
          <t>Property Admin / Front Office / Housekeeping</t>
        </is>
      </c>
      <c r="K64" s="12" t="inlineStr">
        <is>
          <t>Must Have</t>
        </is>
      </c>
      <c r="L64" s="12" t="inlineStr">
        <is>
          <t>1. Core Platform, Security &amp; Masters</t>
        </is>
      </c>
      <c r="M64" s="12" t="inlineStr">
        <is>
          <t>S01-S02</t>
        </is>
      </c>
      <c r="N64" s="12" t="inlineStr">
        <is>
          <t>Not Started</t>
        </is>
      </c>
      <c r="O64" s="13">
        <f>IF(N64="Done",1,IF(N64="QA",0.9,IF(N64="Integration",0.75,IF(N64="Frontend",0.55,IF(N64="Backend",0.35,IF(N64="UX/UI",0.1,0))))))</f>
        <v/>
      </c>
      <c r="P64" s="12" t="inlineStr">
        <is>
          <t>Administration</t>
        </is>
      </c>
      <c r="Q64" s="12" t="inlineStr">
        <is>
          <t>Responsive desktop/tablet UI; loading, empty, error and permission states; filters; form validation; accessible interactions</t>
        </is>
      </c>
      <c r="R64" s="12" t="inlineStr">
        <is>
          <t>GET, POST, PUT/PATCH, DELETE /api/v1/room-type-management; lookup, validation and audit endpoints; idempotency for financial/booking writes</t>
        </is>
      </c>
      <c r="S64" s="12" t="inlineStr">
        <is>
          <t>properties, buildings, floors, room_types, rooms, amenities</t>
        </is>
      </c>
      <c r="T64" s="12" t="inlineStr">
        <is>
          <t>Tenant/property scope; required fields; optimistic locking; timezone-safe dates; reason mandatory for overrides; valid status transition; linked-record integrity</t>
        </is>
      </c>
      <c r="U64" s="12" t="inlineStr">
        <is>
          <t>Authorized users can complete the primary room type management workflow; invalid or conflicting actions are blocked with clear messages; saved changes appear in related screens; sensitive changes are auditable.</t>
        </is>
      </c>
      <c r="V64" s="12" t="inlineStr">
        <is>
          <t>RBAC, tenant and property isolation, server-side authorization, audit event for create/update/delete/override</t>
        </is>
      </c>
      <c r="W64" s="12" t="n"/>
      <c r="X64" s="14" t="n"/>
      <c r="Y64" s="14" t="n"/>
      <c r="Z64" s="12" t="n"/>
    </row>
    <row r="65" ht="70" customHeight="1" s="43">
      <c r="A65" s="10" t="n">
        <v>9</v>
      </c>
      <c r="B65" s="11" t="inlineStr">
        <is>
          <t>SCR-061</t>
        </is>
      </c>
      <c r="C65" s="12" t="inlineStr">
        <is>
          <t>Completed</t>
        </is>
      </c>
      <c r="D65" s="12" t="inlineStr">
        <is>
          <t>Property &amp; Rooms</t>
        </is>
      </c>
      <c r="E65" s="12" t="inlineStr">
        <is>
          <t>Property Hierarchy</t>
        </is>
      </c>
      <c r="F65" s="12" t="inlineStr">
        <is>
          <t>Building and Floor Management</t>
        </is>
      </c>
      <c r="G65" s="12" t="inlineStr">
        <is>
          <t>Enable property &amp; rooms users to manage property hierarchy through the Building and Floor Management workflow with real-time status, validations and traceability.</t>
        </is>
      </c>
      <c r="H65"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65" s="12" t="inlineStr">
        <is>
          <t>List, view, create, edit, activate/deactivate, delete where safe, audit</t>
        </is>
      </c>
      <c r="J65" s="12" t="inlineStr">
        <is>
          <t>Property Admin / Front Office / Housekeeping</t>
        </is>
      </c>
      <c r="K65" s="12" t="inlineStr">
        <is>
          <t>Must Have</t>
        </is>
      </c>
      <c r="L65" s="12" t="inlineStr">
        <is>
          <t>1. Core Platform, Security &amp; Masters</t>
        </is>
      </c>
      <c r="M65" s="12" t="inlineStr">
        <is>
          <t>S01-S02</t>
        </is>
      </c>
      <c r="N65" s="12" t="inlineStr">
        <is>
          <t>Not Started</t>
        </is>
      </c>
      <c r="O65" s="13">
        <f>IF(N65="Done",1,IF(N65="QA",0.9,IF(N65="Integration",0.75,IF(N65="Frontend",0.55,IF(N65="Backend",0.35,IF(N65="UX/UI",0.1,0))))))</f>
        <v/>
      </c>
      <c r="P65" s="12" t="inlineStr">
        <is>
          <t>Administration</t>
        </is>
      </c>
      <c r="Q65" s="12" t="inlineStr">
        <is>
          <t>Responsive desktop/tablet UI; loading, empty, error and permission states; filters; form validation; accessible interactions</t>
        </is>
      </c>
      <c r="R65" s="12" t="inlineStr">
        <is>
          <t>GET, POST, PUT/PATCH, DELETE /api/v1/building-and-floor-management; lookup, validation and audit endpoints; idempotency for financial/booking writes</t>
        </is>
      </c>
      <c r="S65" s="12" t="inlineStr">
        <is>
          <t>properties, buildings, floors, room_types, rooms, amenities</t>
        </is>
      </c>
      <c r="T65" s="12" t="inlineStr">
        <is>
          <t>Tenant/property scope; required fields; optimistic locking; timezone-safe dates; reason mandatory for overrides; valid status transition; linked-record integrity</t>
        </is>
      </c>
      <c r="U65" s="12" t="inlineStr">
        <is>
          <t>Authorized users can complete the primary building and floor management workflow; invalid or conflicting actions are blocked with clear messages; saved changes appear in related screens; sensitive changes are auditable.</t>
        </is>
      </c>
      <c r="V65" s="12" t="inlineStr">
        <is>
          <t>RBAC, tenant and property isolation, server-side authorization, audit event for create/update/delete/override</t>
        </is>
      </c>
      <c r="W65" s="12" t="n"/>
      <c r="X65" s="14" t="n"/>
      <c r="Y65" s="14" t="n"/>
      <c r="Z65" s="12" t="n"/>
    </row>
    <row r="66" ht="70" customHeight="1" s="43">
      <c r="A66" s="10" t="n">
        <v>10</v>
      </c>
      <c r="B66" s="11" t="inlineStr">
        <is>
          <t>SCR-062</t>
        </is>
      </c>
      <c r="C66" s="12" t="inlineStr">
        <is>
          <t>Completed</t>
        </is>
      </c>
      <c r="D66" s="12" t="inlineStr">
        <is>
          <t>Property &amp; Rooms</t>
        </is>
      </c>
      <c r="E66" s="12" t="inlineStr">
        <is>
          <t>Amenities Master</t>
        </is>
      </c>
      <c r="F66" s="12" t="inlineStr">
        <is>
          <t>Amenities Management</t>
        </is>
      </c>
      <c r="G66" s="12" t="inlineStr">
        <is>
          <t>Enable property &amp; rooms users to manage amenities master through the Amenities Management workflow with real-time status, validations and traceability.</t>
        </is>
      </c>
      <c r="H66"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66" s="12" t="inlineStr">
        <is>
          <t>List, view, create, edit, activate/deactivate, delete where safe, audit</t>
        </is>
      </c>
      <c r="J66" s="12" t="inlineStr">
        <is>
          <t>Property Admin / Front Office / Housekeeping</t>
        </is>
      </c>
      <c r="K66" s="12" t="inlineStr">
        <is>
          <t>Must Have</t>
        </is>
      </c>
      <c r="L66" s="12" t="inlineStr">
        <is>
          <t>1. Core Platform, Security &amp; Masters</t>
        </is>
      </c>
      <c r="M66" s="12" t="inlineStr">
        <is>
          <t>S01-S02</t>
        </is>
      </c>
      <c r="N66" s="12" t="inlineStr">
        <is>
          <t>Not Started</t>
        </is>
      </c>
      <c r="O66" s="13">
        <f>IF(N66="Done",1,IF(N66="QA",0.9,IF(N66="Integration",0.75,IF(N66="Frontend",0.55,IF(N66="Backend",0.35,IF(N66="UX/UI",0.1,0))))))</f>
        <v/>
      </c>
      <c r="P66" s="12" t="inlineStr">
        <is>
          <t>Administration</t>
        </is>
      </c>
      <c r="Q66" s="12" t="inlineStr">
        <is>
          <t>Responsive desktop/tablet UI; loading, empty, error and permission states; filters; form validation; accessible interactions</t>
        </is>
      </c>
      <c r="R66" s="12" t="inlineStr">
        <is>
          <t>GET, POST, PUT/PATCH, DELETE /api/v1/amenities-management; lookup, validation and audit endpoints; idempotency for financial/booking writes</t>
        </is>
      </c>
      <c r="S66" s="12" t="inlineStr">
        <is>
          <t>properties, buildings, floors, room_types, rooms, amenities</t>
        </is>
      </c>
      <c r="T66" s="12" t="inlineStr">
        <is>
          <t>Tenant/property scope; required fields; optimistic locking; timezone-safe dates; reason mandatory for overrides; valid status transition; linked-record integrity</t>
        </is>
      </c>
      <c r="U66" s="12" t="inlineStr">
        <is>
          <t>Authorized users can complete the primary amenities management workflow; invalid or conflicting actions are blocked with clear messages; saved changes appear in related screens; sensitive changes are auditable.</t>
        </is>
      </c>
      <c r="V66" s="12" t="inlineStr">
        <is>
          <t>RBAC, tenant and property isolation, server-side authorization, audit event for create/update/delete/override</t>
        </is>
      </c>
      <c r="W66" s="12" t="n"/>
      <c r="X66" s="14" t="n"/>
      <c r="Y66" s="14" t="n"/>
      <c r="Z66" s="12" t="n"/>
    </row>
    <row r="67" ht="70" customHeight="1" s="43">
      <c r="A67" s="10" t="n">
        <v>11</v>
      </c>
      <c r="B67" s="11" t="inlineStr">
        <is>
          <t>SCR-063</t>
        </is>
      </c>
      <c r="C67" s="12" t="inlineStr">
        <is>
          <t>Completed</t>
        </is>
      </c>
      <c r="D67" s="12" t="inlineStr">
        <is>
          <t>Property &amp; Rooms</t>
        </is>
      </c>
      <c r="E67" s="12" t="inlineStr">
        <is>
          <t>Availability Control</t>
        </is>
      </c>
      <c r="F67" s="12" t="inlineStr">
        <is>
          <t>Room Block and Out of Order</t>
        </is>
      </c>
      <c r="G67" s="12" t="inlineStr">
        <is>
          <t>Enable property &amp; rooms users to manage availability control through the Room Block and Out of Order workflow with real-time status, validations and traceability.</t>
        </is>
      </c>
      <c r="H67"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67" s="12" t="inlineStr">
        <is>
          <t>List, search, filter, view, create, edit, cancel/delete where allowed, export, audit</t>
        </is>
      </c>
      <c r="J67" s="12" t="inlineStr">
        <is>
          <t>Property Admin / Front Office / Housekeeping</t>
        </is>
      </c>
      <c r="K67" s="12" t="inlineStr">
        <is>
          <t>Must Have</t>
        </is>
      </c>
      <c r="L67" s="12" t="inlineStr">
        <is>
          <t>1. Core Platform, Security &amp; Masters</t>
        </is>
      </c>
      <c r="M67" s="12" t="inlineStr">
        <is>
          <t>S01-S02</t>
        </is>
      </c>
      <c r="N67" s="12" t="inlineStr">
        <is>
          <t>Not Started</t>
        </is>
      </c>
      <c r="O67" s="13">
        <f>IF(N67="Done",1,IF(N67="QA",0.9,IF(N67="Integration",0.75,IF(N67="Frontend",0.55,IF(N67="Backend",0.35,IF(N67="UX/UI",0.1,0))))))</f>
        <v/>
      </c>
      <c r="P67" s="12" t="inlineStr">
        <is>
          <t>Administration</t>
        </is>
      </c>
      <c r="Q67" s="12" t="inlineStr">
        <is>
          <t>Responsive desktop/tablet UI; loading, empty, error and permission states; filters; form validation; accessible interactions</t>
        </is>
      </c>
      <c r="R67" s="12" t="inlineStr">
        <is>
          <t>GET, POST, PUT/PATCH, DELETE /api/v1/room-block-and-out-of-order; lookup, validation and audit endpoints; idempotency for financial/booking writes</t>
        </is>
      </c>
      <c r="S67" s="12" t="inlineStr">
        <is>
          <t>properties, buildings, floors, room_types, rooms, amenities</t>
        </is>
      </c>
      <c r="T67" s="12" t="inlineStr">
        <is>
          <t>Tenant/property scope; required fields; optimistic locking; timezone-safe dates; reason mandatory for overrides; valid status transition; linked-record integrity</t>
        </is>
      </c>
      <c r="U67" s="12" t="inlineStr">
        <is>
          <t>Authorized users can complete the primary room block and out of order workflow; invalid or conflicting actions are blocked with clear messages; saved changes appear in related screens; sensitive changes are auditable.</t>
        </is>
      </c>
      <c r="V67" s="12" t="inlineStr">
        <is>
          <t>RBAC, tenant and property isolation, server-side authorization, audit event for create/update/delete/override</t>
        </is>
      </c>
      <c r="W67" s="12" t="n"/>
      <c r="X67" s="14" t="n"/>
      <c r="Y67" s="14" t="n"/>
      <c r="Z67" s="12" t="n"/>
    </row>
    <row r="68" ht="70" customHeight="1" s="43">
      <c r="A68" s="10" t="n">
        <v>12</v>
      </c>
      <c r="B68" s="11" t="inlineStr">
        <is>
          <t>SCR-064</t>
        </is>
      </c>
      <c r="C68" s="12" t="inlineStr">
        <is>
          <t>Completed</t>
        </is>
      </c>
      <c r="D68" s="12" t="inlineStr">
        <is>
          <t>Property &amp; Rooms</t>
        </is>
      </c>
      <c r="E68" s="12" t="inlineStr">
        <is>
          <t>Status Audit</t>
        </is>
      </c>
      <c r="F68" s="12" t="inlineStr">
        <is>
          <t>Room Status History</t>
        </is>
      </c>
      <c r="G68" s="12" t="inlineStr">
        <is>
          <t>Enable property &amp; rooms users to manage status audit through the Room Status History workflow with real-time status, validations and traceability.</t>
        </is>
      </c>
      <c r="H68" s="12" t="inlineStr">
        <is>
          <t>Provide role-aware view, filter, search, drill down, export, refresh; support search and filters; validate mandatory fields and business conflicts; persist changes atomically; refresh related availability, balances or task status; record user, timestamp and reason for sensitive changes.</t>
        </is>
      </c>
      <c r="I68" s="12" t="inlineStr">
        <is>
          <t>View, filter, search, drill down, export, refresh</t>
        </is>
      </c>
      <c r="J68" s="12" t="inlineStr">
        <is>
          <t>Property Admin / Front Office / Housekeeping</t>
        </is>
      </c>
      <c r="K68" s="12" t="inlineStr">
        <is>
          <t>Must Have</t>
        </is>
      </c>
      <c r="L68" s="12" t="inlineStr">
        <is>
          <t>1. Core Platform, Security &amp; Masters</t>
        </is>
      </c>
      <c r="M68" s="12" t="inlineStr">
        <is>
          <t>S01-S02</t>
        </is>
      </c>
      <c r="N68" s="12" t="inlineStr">
        <is>
          <t>Not Started</t>
        </is>
      </c>
      <c r="O68" s="13">
        <f>IF(N68="Done",1,IF(N68="QA",0.9,IF(N68="Integration",0.75,IF(N68="Frontend",0.55,IF(N68="Backend",0.35,IF(N68="UX/UI",0.1,0))))))</f>
        <v/>
      </c>
      <c r="P68" s="12" t="inlineStr">
        <is>
          <t>Administration</t>
        </is>
      </c>
      <c r="Q68" s="12" t="inlineStr">
        <is>
          <t>Responsive desktop/tablet UI; loading, empty, error and permission states; filters; form validation; accessible interactions</t>
        </is>
      </c>
      <c r="R68" s="12" t="inlineStr">
        <is>
          <t>GET, POST/PATCH /api/v1/room-status-history; lookup, validation and audit endpoints; idempotency for financial/booking writes</t>
        </is>
      </c>
      <c r="S68" s="12" t="inlineStr">
        <is>
          <t>properties, buildings, floors, room_types, rooms, amenities</t>
        </is>
      </c>
      <c r="T68" s="12" t="inlineStr">
        <is>
          <t>Tenant/property scope; required fields; optimistic locking; timezone-safe dates; reason mandatory for overrides; valid status transition; linked-record integrity</t>
        </is>
      </c>
      <c r="U68" s="12" t="inlineStr">
        <is>
          <t>Authorized users can complete the primary room status history workflow; invalid or conflicting actions are blocked with clear messages; saved changes appear in related screens; sensitive changes are auditable.</t>
        </is>
      </c>
      <c r="V68" s="12" t="inlineStr">
        <is>
          <t>RBAC, tenant and property isolation, server-side authorization, audit event for create/update/delete/override</t>
        </is>
      </c>
      <c r="W68" s="12" t="n"/>
      <c r="X68" s="14" t="n"/>
      <c r="Y68" s="14" t="n"/>
      <c r="Z68" s="12" t="n"/>
    </row>
    <row r="69" ht="70" customHeight="1" s="43">
      <c r="A69" s="10" t="n">
        <v>52</v>
      </c>
      <c r="B69" s="11" t="inlineStr">
        <is>
          <t>SCR-065</t>
        </is>
      </c>
      <c r="C69" s="12" t="inlineStr">
        <is>
          <t>Completed</t>
        </is>
      </c>
      <c r="D69" s="12" t="inlineStr">
        <is>
          <t>Guest CRM</t>
        </is>
      </c>
      <c r="E69" s="12" t="inlineStr">
        <is>
          <t>Guest Master</t>
        </is>
      </c>
      <c r="F69" s="12" t="inlineStr">
        <is>
          <t>Create or Edit Guest</t>
        </is>
      </c>
      <c r="G69" s="12" t="inlineStr">
        <is>
          <t>Enable guest crm users to manage guest master through the Create or Edit Guest workflow with real-time status, validations and traceability.</t>
        </is>
      </c>
      <c r="H69"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69" s="12" t="inlineStr">
        <is>
          <t>List, view, create, edit, activate/deactivate, delete where safe, audit</t>
        </is>
      </c>
      <c r="J69" s="12" t="inlineStr">
        <is>
          <t>CRM Manager / Front Desk / Reservations</t>
        </is>
      </c>
      <c r="K69" s="12" t="inlineStr">
        <is>
          <t>Should Have</t>
        </is>
      </c>
      <c r="L69" s="12" t="inlineStr">
        <is>
          <t>4. Guest CRM, Privacy &amp; Communications</t>
        </is>
      </c>
      <c r="M69" s="12" t="inlineStr">
        <is>
          <t>S08-S09</t>
        </is>
      </c>
      <c r="N69" s="12" t="inlineStr">
        <is>
          <t>Not Started</t>
        </is>
      </c>
      <c r="O69" s="13">
        <f>IF(N69="Done",1,IF(N69="QA",0.9,IF(N69="Integration",0.75,IF(N69="Frontend",0.55,IF(N69="Backend",0.35,IF(N69="UX/UI",0.1,0))))))</f>
        <v/>
      </c>
      <c r="P69" s="12" t="inlineStr">
        <is>
          <t>Reservations, Communications</t>
        </is>
      </c>
      <c r="Q69" s="12" t="inlineStr">
        <is>
          <t>Responsive desktop/tablet UI; loading, empty, error and permission states; filters; form validation; accessible interactions</t>
        </is>
      </c>
      <c r="R69" s="12" t="inlineStr">
        <is>
          <t>GET, POST, PUT/PATCH, DELETE /api/v1/create-or-edit-guest; lookup, validation and audit endpoints; idempotency for financial/booking writes</t>
        </is>
      </c>
      <c r="S69" s="12" t="inlineStr">
        <is>
          <t>guests, guest_preferences, consents, documents, loyalty_accounts</t>
        </is>
      </c>
      <c r="T69" s="12" t="inlineStr">
        <is>
          <t>Tenant/property scope; required fields; optimistic locking; timezone-safe dates; reason mandatory for overrides; duplicate detection; consent and retention policy; sensitive document masking</t>
        </is>
      </c>
      <c r="U69" s="12" t="inlineStr">
        <is>
          <t>Authorized users can complete the primary create or edit guest workflow; invalid or conflicting actions are blocked with clear messages; saved changes appear in related screens; sensitive changes are auditable.</t>
        </is>
      </c>
      <c r="V69" s="12" t="inlineStr">
        <is>
          <t>RBAC, tenant and property isolation, server-side authorization, audit event for create/update/delete/override; field masking and approval/audit evidence required</t>
        </is>
      </c>
      <c r="W69" s="12" t="n"/>
      <c r="X69" s="14" t="n"/>
      <c r="Y69" s="14" t="n"/>
      <c r="Z69" s="12" t="n"/>
    </row>
    <row r="70" ht="70" customHeight="1" s="43">
      <c r="A70" s="10" t="n">
        <v>53</v>
      </c>
      <c r="B70" s="11" t="inlineStr">
        <is>
          <t>SCR-066</t>
        </is>
      </c>
      <c r="C70" s="12" t="inlineStr">
        <is>
          <t>Completed</t>
        </is>
      </c>
      <c r="D70" s="12" t="inlineStr">
        <is>
          <t>Guest CRM</t>
        </is>
      </c>
      <c r="E70" s="12" t="inlineStr">
        <is>
          <t>Data Quality</t>
        </is>
      </c>
      <c r="F70" s="12" t="inlineStr">
        <is>
          <t>Merge Duplicate Guests</t>
        </is>
      </c>
      <c r="G70" s="12" t="inlineStr">
        <is>
          <t>Enable guest crm users to manage data quality through the Merge Duplicate Guests workflow with real-time status, validations and traceability.</t>
        </is>
      </c>
      <c r="H70" s="12" t="inlineStr">
        <is>
          <t>Provide role-aware search, compare, select survivor, merge, undo where allowed, audit; support search and filters; validate mandatory fields and business conflicts; persist changes atomically; refresh related availability, balances or task status; record user, timestamp and reason for sensitive changes.</t>
        </is>
      </c>
      <c r="I70" s="12" t="inlineStr">
        <is>
          <t>Search, compare, select survivor, merge, undo where allowed, audit</t>
        </is>
      </c>
      <c r="J70" s="12" t="inlineStr">
        <is>
          <t>CRM Manager / Front Desk / Reservations</t>
        </is>
      </c>
      <c r="K70" s="12" t="inlineStr">
        <is>
          <t>Should Have</t>
        </is>
      </c>
      <c r="L70" s="12" t="inlineStr">
        <is>
          <t>4. Guest CRM, Privacy &amp; Communications</t>
        </is>
      </c>
      <c r="M70" s="12" t="inlineStr">
        <is>
          <t>S08-S09</t>
        </is>
      </c>
      <c r="N70" s="12" t="inlineStr">
        <is>
          <t>Not Started</t>
        </is>
      </c>
      <c r="O70" s="13">
        <f>IF(N70="Done",1,IF(N70="QA",0.9,IF(N70="Integration",0.75,IF(N70="Frontend",0.55,IF(N70="Backend",0.35,IF(N70="UX/UI",0.1,0))))))</f>
        <v/>
      </c>
      <c r="P70" s="12" t="inlineStr">
        <is>
          <t>Reservations, Communications</t>
        </is>
      </c>
      <c r="Q70" s="12" t="inlineStr">
        <is>
          <t>Responsive desktop/tablet UI; loading, empty, error and permission states; filters; form validation; accessible interactions</t>
        </is>
      </c>
      <c r="R70" s="12" t="inlineStr">
        <is>
          <t>GET, POST/PATCH /api/v1/merge-duplicate-guests; lookup, validation and audit endpoints; idempotency for financial/booking writes</t>
        </is>
      </c>
      <c r="S70" s="12" t="inlineStr">
        <is>
          <t>guests, guest_preferences, consents, documents, loyalty_accounts</t>
        </is>
      </c>
      <c r="T70" s="12" t="inlineStr">
        <is>
          <t>Tenant/property scope; required fields; optimistic locking; timezone-safe dates; reason mandatory for overrides; duplicate detection; consent and retention policy; sensitive document masking</t>
        </is>
      </c>
      <c r="U70" s="12" t="inlineStr">
        <is>
          <t>Authorized users can complete the primary merge duplicate guests workflow; invalid or conflicting actions are blocked with clear messages; saved changes appear in related screens; sensitive changes are auditable.</t>
        </is>
      </c>
      <c r="V70" s="12" t="inlineStr">
        <is>
          <t>RBAC, tenant and property isolation, server-side authorization, audit event for create/update/delete/override; field masking and approval/audit evidence required</t>
        </is>
      </c>
      <c r="W70" s="12" t="n"/>
      <c r="X70" s="14" t="n"/>
      <c r="Y70" s="14" t="n"/>
      <c r="Z70" s="12" t="n"/>
    </row>
    <row r="71" ht="70" customHeight="1" s="43">
      <c r="A71" s="10" t="n">
        <v>54</v>
      </c>
      <c r="B71" s="11" t="inlineStr">
        <is>
          <t>SCR-067</t>
        </is>
      </c>
      <c r="C71" s="12" t="inlineStr">
        <is>
          <t>Completed</t>
        </is>
      </c>
      <c r="D71" s="12" t="inlineStr">
        <is>
          <t>Guest CRM</t>
        </is>
      </c>
      <c r="E71" s="12" t="inlineStr">
        <is>
          <t>Preferences &amp; Privacy</t>
        </is>
      </c>
      <c r="F71" s="12" t="inlineStr">
        <is>
          <t>Guest Preferences and Consent</t>
        </is>
      </c>
      <c r="G71" s="12" t="inlineStr">
        <is>
          <t>Enable guest crm users to manage preferences &amp; privacy through the Guest Preferences and Consent workflow with real-time status, validations and traceability.</t>
        </is>
      </c>
      <c r="H7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71" s="12" t="inlineStr">
        <is>
          <t>List, search, filter, view, create, edit, cancel/delete where allowed, export, audit</t>
        </is>
      </c>
      <c r="J71" s="12" t="inlineStr">
        <is>
          <t>CRM Manager / Front Desk / Reservations</t>
        </is>
      </c>
      <c r="K71" s="12" t="inlineStr">
        <is>
          <t>Should Have</t>
        </is>
      </c>
      <c r="L71" s="12" t="inlineStr">
        <is>
          <t>4. Guest CRM, Privacy &amp; Communications</t>
        </is>
      </c>
      <c r="M71" s="12" t="inlineStr">
        <is>
          <t>S08-S09</t>
        </is>
      </c>
      <c r="N71" s="12" t="inlineStr">
        <is>
          <t>Not Started</t>
        </is>
      </c>
      <c r="O71" s="13">
        <f>IF(N71="Done",1,IF(N71="QA",0.9,IF(N71="Integration",0.75,IF(N71="Frontend",0.55,IF(N71="Backend",0.35,IF(N71="UX/UI",0.1,0))))))</f>
        <v/>
      </c>
      <c r="P71" s="12" t="inlineStr">
        <is>
          <t>Reservations, Communications</t>
        </is>
      </c>
      <c r="Q71" s="12" t="inlineStr">
        <is>
          <t>Responsive desktop/tablet UI; loading, empty, error and permission states; filters; form validation; accessible interactions</t>
        </is>
      </c>
      <c r="R71" s="12" t="inlineStr">
        <is>
          <t>GET, POST, PUT/PATCH, DELETE /api/v1/guest-preferences-and-consent; lookup, validation and audit endpoints; idempotency for financial/booking writes</t>
        </is>
      </c>
      <c r="S71" s="12" t="inlineStr">
        <is>
          <t>guests, guest_preferences, consents, documents, loyalty_accounts</t>
        </is>
      </c>
      <c r="T71" s="12" t="inlineStr">
        <is>
          <t>Tenant/property scope; required fields; optimistic locking; timezone-safe dates; reason mandatory for overrides; duplicate detection; consent and retention policy; sensitive document masking</t>
        </is>
      </c>
      <c r="U71" s="12" t="inlineStr">
        <is>
          <t>Authorized users can complete the primary guest preferences and consent workflow; invalid or conflicting actions are blocked with clear messages; saved changes appear in related screens; sensitive changes are auditable.</t>
        </is>
      </c>
      <c r="V71" s="12" t="inlineStr">
        <is>
          <t>RBAC, tenant and property isolation, server-side authorization, audit event for create/update/delete/override; field masking and approval/audit evidence required</t>
        </is>
      </c>
      <c r="W71" s="12" t="n"/>
      <c r="X71" s="14" t="n"/>
      <c r="Y71" s="14" t="n"/>
      <c r="Z71" s="12" t="n"/>
    </row>
    <row r="72" ht="70" customHeight="1" s="43">
      <c r="A72" s="10" t="n">
        <v>55</v>
      </c>
      <c r="B72" s="11" t="inlineStr">
        <is>
          <t>SCR-068</t>
        </is>
      </c>
      <c r="C72" s="12" t="inlineStr">
        <is>
          <t>Completed</t>
        </is>
      </c>
      <c r="D72" s="12" t="inlineStr">
        <is>
          <t>Guest CRM</t>
        </is>
      </c>
      <c r="E72" s="12" t="inlineStr">
        <is>
          <t>Identity Verification</t>
        </is>
      </c>
      <c r="F72" s="12" t="inlineStr">
        <is>
          <t>Guest Documents and KYC</t>
        </is>
      </c>
      <c r="G72" s="12" t="inlineStr">
        <is>
          <t>Enable guest crm users to manage identity verification through the Guest Documents and KYC workflow with real-time status, validations and traceability.</t>
        </is>
      </c>
      <c r="H7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72" s="12" t="inlineStr">
        <is>
          <t>List, search, filter, view, create, edit, cancel/delete where allowed, export, audit</t>
        </is>
      </c>
      <c r="J72" s="12" t="inlineStr">
        <is>
          <t>CRM Manager / Front Desk / Reservations</t>
        </is>
      </c>
      <c r="K72" s="12" t="inlineStr">
        <is>
          <t>Should Have</t>
        </is>
      </c>
      <c r="L72" s="12" t="inlineStr">
        <is>
          <t>4. Guest CRM, Privacy &amp; Communications</t>
        </is>
      </c>
      <c r="M72" s="12" t="inlineStr">
        <is>
          <t>S08-S09</t>
        </is>
      </c>
      <c r="N72" s="12" t="inlineStr">
        <is>
          <t>Not Started</t>
        </is>
      </c>
      <c r="O72" s="13">
        <f>IF(N72="Done",1,IF(N72="QA",0.9,IF(N72="Integration",0.75,IF(N72="Frontend",0.55,IF(N72="Backend",0.35,IF(N72="UX/UI",0.1,0))))))</f>
        <v/>
      </c>
      <c r="P72" s="12" t="inlineStr">
        <is>
          <t>Reservations, Communications</t>
        </is>
      </c>
      <c r="Q72" s="12" t="inlineStr">
        <is>
          <t>Responsive desktop/tablet UI; loading, empty, error and permission states; filters; form validation; accessible interactions</t>
        </is>
      </c>
      <c r="R72" s="12" t="inlineStr">
        <is>
          <t>GET, POST, PUT/PATCH, DELETE /api/v1/guest-documents-and-kyc; lookup, validation and audit endpoints; idempotency for financial/booking writes</t>
        </is>
      </c>
      <c r="S72" s="12" t="inlineStr">
        <is>
          <t>guests, guest_preferences, consents, documents, loyalty_accounts</t>
        </is>
      </c>
      <c r="T72" s="12" t="inlineStr">
        <is>
          <t>Tenant/property scope; required fields; optimistic locking; timezone-safe dates; reason mandatory for overrides; duplicate detection; consent and retention policy; sensitive document masking</t>
        </is>
      </c>
      <c r="U72" s="12" t="inlineStr">
        <is>
          <t>Authorized users can complete the primary guest documents and kyc workflow; invalid or conflicting actions are blocked with clear messages; saved changes appear in related screens; sensitive changes are auditable.</t>
        </is>
      </c>
      <c r="V72" s="12" t="inlineStr">
        <is>
          <t>RBAC, tenant and property isolation, server-side authorization, audit event for create/update/delete/override; field masking and approval/audit evidence required</t>
        </is>
      </c>
      <c r="W72" s="12" t="n"/>
      <c r="X72" s="14" t="n"/>
      <c r="Y72" s="14" t="n"/>
      <c r="Z72" s="12" t="n"/>
    </row>
    <row r="73" ht="70" customHeight="1" s="43">
      <c r="A73" s="10" t="n">
        <v>56</v>
      </c>
      <c r="B73" s="11" t="inlineStr">
        <is>
          <t>SCR-069</t>
        </is>
      </c>
      <c r="C73" s="12" t="inlineStr">
        <is>
          <t>Completed</t>
        </is>
      </c>
      <c r="D73" s="12" t="inlineStr">
        <is>
          <t>Guest CRM</t>
        </is>
      </c>
      <c r="E73" s="12" t="inlineStr">
        <is>
          <t>Loyalty</t>
        </is>
      </c>
      <c r="F73" s="12" t="inlineStr">
        <is>
          <t>Loyalty and Membership</t>
        </is>
      </c>
      <c r="G73" s="12" t="inlineStr">
        <is>
          <t>Enable guest crm users to manage loyalty through the Loyalty and Membership workflow with real-time status, validations and traceability.</t>
        </is>
      </c>
      <c r="H7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73" s="12" t="inlineStr">
        <is>
          <t>List, search, filter, view, create, edit, cancel/delete where allowed, export, audit</t>
        </is>
      </c>
      <c r="J73" s="12" t="inlineStr">
        <is>
          <t>CRM Manager / Front Desk / Reservations</t>
        </is>
      </c>
      <c r="K73" s="12" t="inlineStr">
        <is>
          <t>Should Have</t>
        </is>
      </c>
      <c r="L73" s="12" t="inlineStr">
        <is>
          <t>4. Guest CRM, Privacy &amp; Communications</t>
        </is>
      </c>
      <c r="M73" s="12" t="inlineStr">
        <is>
          <t>S08-S09</t>
        </is>
      </c>
      <c r="N73" s="12" t="inlineStr">
        <is>
          <t>Not Started</t>
        </is>
      </c>
      <c r="O73" s="13">
        <f>IF(N73="Done",1,IF(N73="QA",0.9,IF(N73="Integration",0.75,IF(N73="Frontend",0.55,IF(N73="Backend",0.35,IF(N73="UX/UI",0.1,0))))))</f>
        <v/>
      </c>
      <c r="P73" s="12" t="inlineStr">
        <is>
          <t>Reservations, Communications</t>
        </is>
      </c>
      <c r="Q73" s="12" t="inlineStr">
        <is>
          <t>Responsive desktop/tablet UI; loading, empty, error and permission states; filters; form validation; accessible interactions</t>
        </is>
      </c>
      <c r="R73" s="12" t="inlineStr">
        <is>
          <t>GET, POST, PUT/PATCH, DELETE /api/v1/loyalty-and-membership; lookup, validation and audit endpoints; idempotency for financial/booking writes</t>
        </is>
      </c>
      <c r="S73" s="12" t="inlineStr">
        <is>
          <t>guests, guest_preferences, consents, documents, loyalty_accounts</t>
        </is>
      </c>
      <c r="T73" s="12" t="inlineStr">
        <is>
          <t>Tenant/property scope; required fields; optimistic locking; timezone-safe dates; reason mandatory for overrides; duplicate detection; consent and retention policy; sensitive document masking</t>
        </is>
      </c>
      <c r="U73" s="12" t="inlineStr">
        <is>
          <t>Authorized users can complete the primary loyalty and membership workflow; invalid or conflicting actions are blocked with clear messages; saved changes appear in related screens; sensitive changes are auditable.</t>
        </is>
      </c>
      <c r="V73" s="12" t="inlineStr">
        <is>
          <t>RBAC, tenant and property isolation, server-side authorization, audit event for create/update/delete/override; field masking and approval/audit evidence required</t>
        </is>
      </c>
      <c r="W73" s="12" t="n"/>
      <c r="X73" s="14" t="n"/>
      <c r="Y73" s="14" t="n"/>
      <c r="Z73" s="12" t="n"/>
    </row>
    <row r="74" ht="70" customHeight="1" s="43">
      <c r="A74" s="10" t="n">
        <v>57</v>
      </c>
      <c r="B74" s="11" t="inlineStr">
        <is>
          <t>SCR-070</t>
        </is>
      </c>
      <c r="C74" s="12" t="inlineStr">
        <is>
          <t>Completed</t>
        </is>
      </c>
      <c r="D74" s="12" t="inlineStr">
        <is>
          <t>Guest CRM</t>
        </is>
      </c>
      <c r="E74" s="12" t="inlineStr">
        <is>
          <t>Privacy Operations</t>
        </is>
      </c>
      <c r="F74" s="12" t="inlineStr">
        <is>
          <t>Guest Archive and Anonymization</t>
        </is>
      </c>
      <c r="G74" s="12" t="inlineStr">
        <is>
          <t>Enable guest crm users to manage privacy operations through the Guest Archive and Anonymization workflow with real-time status, validations and traceability.</t>
        </is>
      </c>
      <c r="H74" s="12" t="inlineStr">
        <is>
          <t>Provide role-aware search, preview impact, archive, anonymize, restore where permitted, audit; support search and filters; validate mandatory fields and business conflicts; persist changes atomically; refresh related availability, balances or task status; record user, timestamp and reason for sensitive changes.</t>
        </is>
      </c>
      <c r="I74" s="12" t="inlineStr">
        <is>
          <t>Search, preview impact, archive, anonymize, restore where permitted, audit</t>
        </is>
      </c>
      <c r="J74" s="12" t="inlineStr">
        <is>
          <t>CRM Manager / Front Desk / Reservations</t>
        </is>
      </c>
      <c r="K74" s="12" t="inlineStr">
        <is>
          <t>Should Have</t>
        </is>
      </c>
      <c r="L74" s="12" t="inlineStr">
        <is>
          <t>4. Guest CRM, Privacy &amp; Communications</t>
        </is>
      </c>
      <c r="M74" s="12" t="inlineStr">
        <is>
          <t>S08-S09</t>
        </is>
      </c>
      <c r="N74" s="12" t="inlineStr">
        <is>
          <t>Not Started</t>
        </is>
      </c>
      <c r="O74" s="13">
        <f>IF(N74="Done",1,IF(N74="QA",0.9,IF(N74="Integration",0.75,IF(N74="Frontend",0.55,IF(N74="Backend",0.35,IF(N74="UX/UI",0.1,0))))))</f>
        <v/>
      </c>
      <c r="P74" s="12" t="inlineStr">
        <is>
          <t>Reservations, Communications</t>
        </is>
      </c>
      <c r="Q74" s="12" t="inlineStr">
        <is>
          <t>Responsive desktop/tablet UI; loading, empty, error and permission states; filters; form validation; accessible interactions</t>
        </is>
      </c>
      <c r="R74" s="12" t="inlineStr">
        <is>
          <t>GET, POST/PATCH /api/v1/guest-archive-and-anonymization; lookup, validation and audit endpoints; idempotency for financial/booking writes</t>
        </is>
      </c>
      <c r="S74" s="12" t="inlineStr">
        <is>
          <t>guests, guest_preferences, consents, documents, loyalty_accounts</t>
        </is>
      </c>
      <c r="T74" s="12" t="inlineStr">
        <is>
          <t>Tenant/property scope; required fields; optimistic locking; timezone-safe dates; reason mandatory for overrides; duplicate detection; consent and retention policy; sensitive document masking</t>
        </is>
      </c>
      <c r="U74" s="12" t="inlineStr">
        <is>
          <t>Authorized users can complete the primary guest archive and anonymization workflow; invalid or conflicting actions are blocked with clear messages; saved changes appear in related screens; sensitive changes are auditable.</t>
        </is>
      </c>
      <c r="V74" s="12" t="inlineStr">
        <is>
          <t>RBAC, tenant and property isolation, server-side authorization, audit event for create/update/delete/override; field masking and approval/audit evidence required</t>
        </is>
      </c>
      <c r="W74" s="12" t="n"/>
      <c r="X74" s="14" t="n"/>
      <c r="Y74" s="14" t="n"/>
      <c r="Z74" s="12" t="n"/>
    </row>
    <row r="75" ht="70" customHeight="1" s="43">
      <c r="A75" s="10" t="n">
        <v>61</v>
      </c>
      <c r="B75" s="11" t="inlineStr">
        <is>
          <t>SCR-071</t>
        </is>
      </c>
      <c r="C75" s="12" t="inlineStr">
        <is>
          <t>Completed</t>
        </is>
      </c>
      <c r="D75" s="12" t="inlineStr">
        <is>
          <t>Housekeeping</t>
        </is>
      </c>
      <c r="E75" s="12" t="inlineStr">
        <is>
          <t>Task Management</t>
        </is>
      </c>
      <c r="F75" s="12" t="inlineStr">
        <is>
          <t>Create Housekeeping Task</t>
        </is>
      </c>
      <c r="G75" s="12" t="inlineStr">
        <is>
          <t>Enable housekeeping users to manage task management through the Create Housekeeping Task workflow with real-time status, validations and traceability.</t>
        </is>
      </c>
      <c r="H75"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75" s="12" t="inlineStr">
        <is>
          <t>List, view, create, edit, activate/deactivate, delete where safe, audit</t>
        </is>
      </c>
      <c r="J75" s="12" t="inlineStr">
        <is>
          <t>Housekeeping Manager / Supervisor / Attendant</t>
        </is>
      </c>
      <c r="K75" s="12" t="inlineStr">
        <is>
          <t>Should Have</t>
        </is>
      </c>
      <c r="L75" s="12" t="inlineStr">
        <is>
          <t>5. Housekeeping &amp; Guest Services</t>
        </is>
      </c>
      <c r="M75" s="12" t="inlineStr">
        <is>
          <t>S10-S11</t>
        </is>
      </c>
      <c r="N75" s="12" t="inlineStr">
        <is>
          <t>Not Started</t>
        </is>
      </c>
      <c r="O75" s="13">
        <f>IF(N75="Done",1,IF(N75="QA",0.9,IF(N75="Integration",0.75,IF(N75="Frontend",0.55,IF(N75="Backend",0.35,IF(N75="UX/UI",0.1,0))))))</f>
        <v/>
      </c>
      <c r="P75" s="12" t="inlineStr">
        <is>
          <t>Rooms, Workforce, Inventory</t>
        </is>
      </c>
      <c r="Q75" s="12" t="inlineStr">
        <is>
          <t>Responsive desktop/tablet UI; loading, empty, error and permission states; filters; form validation; accessible interactions</t>
        </is>
      </c>
      <c r="R75" s="12" t="inlineStr">
        <is>
          <t>GET, POST, PUT/PATCH, DELETE /api/v1/create-housekeeping-task; lookup, validation and audit endpoints; idempotency for financial/booking writes</t>
        </is>
      </c>
      <c r="S75" s="12" t="inlineStr">
        <is>
          <t>housekeeping_tasks, room_status_logs, lost_found, linen_movements, minibar_postings</t>
        </is>
      </c>
      <c r="T75" s="12" t="inlineStr">
        <is>
          <t>Tenant/property scope; required fields; optimistic locking; timezone-safe dates; reason mandatory for overrides; valid status transition; linked-record integrity</t>
        </is>
      </c>
      <c r="U75" s="12" t="inlineStr">
        <is>
          <t>Authorized users can complete the primary create housekeeping task workflow; invalid or conflicting actions are blocked with clear messages; saved changes appear in related screens; sensitive changes are auditable.</t>
        </is>
      </c>
      <c r="V75" s="12" t="inlineStr">
        <is>
          <t>RBAC, tenant and property isolation, server-side authorization, audit event for create/update/delete/override</t>
        </is>
      </c>
      <c r="W75" s="12" t="n"/>
      <c r="X75" s="14" t="n"/>
      <c r="Y75" s="14" t="n"/>
      <c r="Z75" s="12" t="n"/>
    </row>
    <row r="76" ht="70" customHeight="1" s="43">
      <c r="A76" s="10" t="n">
        <v>62</v>
      </c>
      <c r="B76" s="11" t="inlineStr">
        <is>
          <t>SCR-072</t>
        </is>
      </c>
      <c r="C76" s="12" t="inlineStr">
        <is>
          <t>Completed</t>
        </is>
      </c>
      <c r="D76" s="12" t="inlineStr">
        <is>
          <t>Housekeeping</t>
        </is>
      </c>
      <c r="E76" s="12" t="inlineStr">
        <is>
          <t>Task Management</t>
        </is>
      </c>
      <c r="F76" s="12" t="inlineStr">
        <is>
          <t>Housekeeping Task Details and Edit</t>
        </is>
      </c>
      <c r="G76" s="12" t="inlineStr">
        <is>
          <t>Enable housekeeping users to manage task management through the Housekeeping Task Details and Edit workflow with real-time status, validations and traceability.</t>
        </is>
      </c>
      <c r="H7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76" s="12" t="inlineStr">
        <is>
          <t>List, search, filter, view, create, edit, cancel/delete where allowed, export, audit</t>
        </is>
      </c>
      <c r="J76" s="12" t="inlineStr">
        <is>
          <t>Housekeeping Manager / Supervisor / Attendant</t>
        </is>
      </c>
      <c r="K76" s="12" t="inlineStr">
        <is>
          <t>Should Have</t>
        </is>
      </c>
      <c r="L76" s="12" t="inlineStr">
        <is>
          <t>5. Housekeeping &amp; Guest Services</t>
        </is>
      </c>
      <c r="M76" s="12" t="inlineStr">
        <is>
          <t>S10-S11</t>
        </is>
      </c>
      <c r="N76" s="12" t="inlineStr">
        <is>
          <t>Not Started</t>
        </is>
      </c>
      <c r="O76" s="13">
        <f>IF(N76="Done",1,IF(N76="QA",0.9,IF(N76="Integration",0.75,IF(N76="Frontend",0.55,IF(N76="Backend",0.35,IF(N76="UX/UI",0.1,0))))))</f>
        <v/>
      </c>
      <c r="P76" s="12" t="inlineStr">
        <is>
          <t>Rooms, Workforce, Inventory</t>
        </is>
      </c>
      <c r="Q76" s="12" t="inlineStr">
        <is>
          <t>Responsive desktop/tablet UI; loading, empty, error and permission states; filters; form validation; accessible interactions</t>
        </is>
      </c>
      <c r="R76" s="12" t="inlineStr">
        <is>
          <t>GET, POST, PUT/PATCH, DELETE /api/v1/housekeeping-task-details-and-edit; lookup, validation and audit endpoints; idempotency for financial/booking writes</t>
        </is>
      </c>
      <c r="S76" s="12" t="inlineStr">
        <is>
          <t>housekeeping_tasks, room_status_logs, lost_found, linen_movements, minibar_postings</t>
        </is>
      </c>
      <c r="T76" s="12" t="inlineStr">
        <is>
          <t>Tenant/property scope; required fields; optimistic locking; timezone-safe dates; reason mandatory for overrides; valid status transition; linked-record integrity</t>
        </is>
      </c>
      <c r="U76" s="12" t="inlineStr">
        <is>
          <t>Authorized users can complete the primary housekeeping task details and edit workflow; invalid or conflicting actions are blocked with clear messages; saved changes appear in related screens; sensitive changes are auditable.</t>
        </is>
      </c>
      <c r="V76" s="12" t="inlineStr">
        <is>
          <t>RBAC, tenant and property isolation, server-side authorization, audit event for create/update/delete/override</t>
        </is>
      </c>
      <c r="W76" s="12" t="n"/>
      <c r="X76" s="14" t="n"/>
      <c r="Y76" s="14" t="n"/>
      <c r="Z76" s="12" t="n"/>
    </row>
    <row r="77" ht="70" customHeight="1" s="43">
      <c r="A77" s="10" t="n">
        <v>63</v>
      </c>
      <c r="B77" s="11" t="inlineStr">
        <is>
          <t>SCR-073</t>
        </is>
      </c>
      <c r="C77" s="12" t="inlineStr">
        <is>
          <t>Completed</t>
        </is>
      </c>
      <c r="D77" s="12" t="inlineStr">
        <is>
          <t>Housekeeping</t>
        </is>
      </c>
      <c r="E77" s="12" t="inlineStr">
        <is>
          <t>Room Status</t>
        </is>
      </c>
      <c r="F77" s="12" t="inlineStr">
        <is>
          <t>Bulk Room Status Update</t>
        </is>
      </c>
      <c r="G77" s="12" t="inlineStr">
        <is>
          <t>Enable housekeeping users to manage room status through the Bulk Room Status Update workflow with real-time status, validations and traceability.</t>
        </is>
      </c>
      <c r="H77"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77" s="12" t="inlineStr">
        <is>
          <t>List, search, filter, view, create, edit, cancel/delete where allowed, export, audit</t>
        </is>
      </c>
      <c r="J77" s="12" t="inlineStr">
        <is>
          <t>Housekeeping Manager / Supervisor / Attendant</t>
        </is>
      </c>
      <c r="K77" s="12" t="inlineStr">
        <is>
          <t>Should Have</t>
        </is>
      </c>
      <c r="L77" s="12" t="inlineStr">
        <is>
          <t>5. Housekeeping &amp; Guest Services</t>
        </is>
      </c>
      <c r="M77" s="12" t="inlineStr">
        <is>
          <t>S10-S11</t>
        </is>
      </c>
      <c r="N77" s="12" t="inlineStr">
        <is>
          <t>Not Started</t>
        </is>
      </c>
      <c r="O77" s="13">
        <f>IF(N77="Done",1,IF(N77="QA",0.9,IF(N77="Integration",0.75,IF(N77="Frontend",0.55,IF(N77="Backend",0.35,IF(N77="UX/UI",0.1,0))))))</f>
        <v/>
      </c>
      <c r="P77" s="12" t="inlineStr">
        <is>
          <t>Rooms, Workforce, Inventory</t>
        </is>
      </c>
      <c r="Q77" s="12" t="inlineStr">
        <is>
          <t>Responsive desktop/tablet UI; loading, empty, error and permission states; filters; form validation; accessible interactions</t>
        </is>
      </c>
      <c r="R77" s="12" t="inlineStr">
        <is>
          <t>GET, POST, PUT/PATCH, DELETE /api/v1/bulk-room-status-update; lookup, validation and audit endpoints; idempotency for financial/booking writes</t>
        </is>
      </c>
      <c r="S77" s="12" t="inlineStr">
        <is>
          <t>housekeeping_tasks, room_status_logs, lost_found, linen_movements, minibar_postings</t>
        </is>
      </c>
      <c r="T77" s="12" t="inlineStr">
        <is>
          <t>Tenant/property scope; required fields; optimistic locking; timezone-safe dates; reason mandatory for overrides; valid status transition; linked-record integrity</t>
        </is>
      </c>
      <c r="U77" s="12" t="inlineStr">
        <is>
          <t>Authorized users can complete the primary bulk room status update workflow; invalid or conflicting actions are blocked with clear messages; saved changes appear in related screens; sensitive changes are auditable.</t>
        </is>
      </c>
      <c r="V77" s="12" t="inlineStr">
        <is>
          <t>RBAC, tenant and property isolation, server-side authorization, audit event for create/update/delete/override</t>
        </is>
      </c>
      <c r="W77" s="12" t="n"/>
      <c r="X77" s="14" t="n"/>
      <c r="Y77" s="14" t="n"/>
      <c r="Z77" s="12" t="n"/>
    </row>
    <row r="78" ht="70" customHeight="1" s="43">
      <c r="A78" s="10" t="n">
        <v>64</v>
      </c>
      <c r="B78" s="11" t="inlineStr">
        <is>
          <t>SCR-074</t>
        </is>
      </c>
      <c r="C78" s="12" t="inlineStr">
        <is>
          <t>Completed</t>
        </is>
      </c>
      <c r="D78" s="12" t="inlineStr">
        <is>
          <t>Housekeeping</t>
        </is>
      </c>
      <c r="E78" s="12" t="inlineStr">
        <is>
          <t>Lost Property</t>
        </is>
      </c>
      <c r="F78" s="12" t="inlineStr">
        <is>
          <t>Lost and Found</t>
        </is>
      </c>
      <c r="G78" s="12" t="inlineStr">
        <is>
          <t>Enable housekeeping users to manage lost property through the Lost and Found workflow with real-time status, validations and traceability.</t>
        </is>
      </c>
      <c r="H7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78" s="12" t="inlineStr">
        <is>
          <t>List, search, filter, view, create, edit, cancel/delete where allowed, export, audit</t>
        </is>
      </c>
      <c r="J78" s="12" t="inlineStr">
        <is>
          <t>Housekeeping Manager / Supervisor / Attendant</t>
        </is>
      </c>
      <c r="K78" s="12" t="inlineStr">
        <is>
          <t>Should Have</t>
        </is>
      </c>
      <c r="L78" s="12" t="inlineStr">
        <is>
          <t>5. Housekeeping &amp; Guest Services</t>
        </is>
      </c>
      <c r="M78" s="12" t="inlineStr">
        <is>
          <t>S10-S11</t>
        </is>
      </c>
      <c r="N78" s="12" t="inlineStr">
        <is>
          <t>Not Started</t>
        </is>
      </c>
      <c r="O78" s="13">
        <f>IF(N78="Done",1,IF(N78="QA",0.9,IF(N78="Integration",0.75,IF(N78="Frontend",0.55,IF(N78="Backend",0.35,IF(N78="UX/UI",0.1,0))))))</f>
        <v/>
      </c>
      <c r="P78" s="12" t="inlineStr">
        <is>
          <t>Rooms, Workforce, Inventory</t>
        </is>
      </c>
      <c r="Q78" s="12" t="inlineStr">
        <is>
          <t>Responsive desktop/tablet UI; loading, empty, error and permission states; filters; form validation; accessible interactions</t>
        </is>
      </c>
      <c r="R78" s="12" t="inlineStr">
        <is>
          <t>GET, POST, PUT/PATCH, DELETE /api/v1/lost-and-found; lookup, validation and audit endpoints; idempotency for financial/booking writes</t>
        </is>
      </c>
      <c r="S78" s="12" t="inlineStr">
        <is>
          <t>housekeeping_tasks, room_status_logs, lost_found, linen_movements, minibar_postings</t>
        </is>
      </c>
      <c r="T78" s="12" t="inlineStr">
        <is>
          <t>Tenant/property scope; required fields; optimistic locking; timezone-safe dates; reason mandatory for overrides; valid status transition; linked-record integrity</t>
        </is>
      </c>
      <c r="U78" s="12" t="inlineStr">
        <is>
          <t>Authorized users can complete the primary lost and found workflow; invalid or conflicting actions are blocked with clear messages; saved changes appear in related screens; sensitive changes are auditable.</t>
        </is>
      </c>
      <c r="V78" s="12" t="inlineStr">
        <is>
          <t>RBAC, tenant and property isolation, server-side authorization, audit event for create/update/delete/override</t>
        </is>
      </c>
      <c r="W78" s="12" t="n"/>
      <c r="X78" s="14" t="n"/>
      <c r="Y78" s="14" t="n"/>
      <c r="Z78" s="12" t="n"/>
    </row>
    <row r="79" ht="70" customHeight="1" s="43">
      <c r="A79" s="10" t="n">
        <v>65</v>
      </c>
      <c r="B79" s="11" t="inlineStr">
        <is>
          <t>SCR-075</t>
        </is>
      </c>
      <c r="C79" s="12" t="inlineStr">
        <is>
          <t>Completed</t>
        </is>
      </c>
      <c r="D79" s="12" t="inlineStr">
        <is>
          <t>Housekeeping</t>
        </is>
      </c>
      <c r="E79" s="12" t="inlineStr">
        <is>
          <t>Laundry Operations</t>
        </is>
      </c>
      <c r="F79" s="12" t="inlineStr">
        <is>
          <t>Linen and Laundry</t>
        </is>
      </c>
      <c r="G79" s="12" t="inlineStr">
        <is>
          <t>Enable housekeeping users to manage laundry operations through the Linen and Laundry workflow with real-time status, validations and traceability.</t>
        </is>
      </c>
      <c r="H79"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79" s="12" t="inlineStr">
        <is>
          <t>List, search, filter, view, create, edit, cancel/delete where allowed, export, audit</t>
        </is>
      </c>
      <c r="J79" s="12" t="inlineStr">
        <is>
          <t>Housekeeping Manager / Supervisor / Attendant</t>
        </is>
      </c>
      <c r="K79" s="12" t="inlineStr">
        <is>
          <t>Should Have</t>
        </is>
      </c>
      <c r="L79" s="12" t="inlineStr">
        <is>
          <t>5. Housekeeping &amp; Guest Services</t>
        </is>
      </c>
      <c r="M79" s="12" t="inlineStr">
        <is>
          <t>S10-S11</t>
        </is>
      </c>
      <c r="N79" s="12" t="inlineStr">
        <is>
          <t>Not Started</t>
        </is>
      </c>
      <c r="O79" s="13">
        <f>IF(N79="Done",1,IF(N79="QA",0.9,IF(N79="Integration",0.75,IF(N79="Frontend",0.55,IF(N79="Backend",0.35,IF(N79="UX/UI",0.1,0))))))</f>
        <v/>
      </c>
      <c r="P79" s="12" t="inlineStr">
        <is>
          <t>Rooms, Workforce, Inventory</t>
        </is>
      </c>
      <c r="Q79" s="12" t="inlineStr">
        <is>
          <t>Responsive desktop/tablet UI; loading, empty, error and permission states; filters; form validation; accessible interactions</t>
        </is>
      </c>
      <c r="R79" s="12" t="inlineStr">
        <is>
          <t>GET, POST, PUT/PATCH, DELETE /api/v1/linen-and-laundry; lookup, validation and audit endpoints; idempotency for financial/booking writes</t>
        </is>
      </c>
      <c r="S79" s="12" t="inlineStr">
        <is>
          <t>housekeeping_tasks, room_status_logs, lost_found, linen_movements, minibar_postings</t>
        </is>
      </c>
      <c r="T79" s="12" t="inlineStr">
        <is>
          <t>Tenant/property scope; required fields; optimistic locking; timezone-safe dates; reason mandatory for overrides; valid status transition; linked-record integrity</t>
        </is>
      </c>
      <c r="U79" s="12" t="inlineStr">
        <is>
          <t>Authorized users can complete the primary linen and laundry workflow; invalid or conflicting actions are blocked with clear messages; saved changes appear in related screens; sensitive changes are auditable.</t>
        </is>
      </c>
      <c r="V79" s="12" t="inlineStr">
        <is>
          <t>RBAC, tenant and property isolation, server-side authorization, audit event for create/update/delete/override</t>
        </is>
      </c>
      <c r="W79" s="12" t="n"/>
      <c r="X79" s="14" t="n"/>
      <c r="Y79" s="14" t="n"/>
      <c r="Z79" s="12" t="n"/>
    </row>
    <row r="80" ht="70" customHeight="1" s="43">
      <c r="A80" s="10" t="n">
        <v>66</v>
      </c>
      <c r="B80" s="11" t="inlineStr">
        <is>
          <t>SCR-076</t>
        </is>
      </c>
      <c r="C80" s="12" t="inlineStr">
        <is>
          <t>Completed</t>
        </is>
      </c>
      <c r="D80" s="12" t="inlineStr">
        <is>
          <t>Housekeeping</t>
        </is>
      </c>
      <c r="E80" s="12" t="inlineStr">
        <is>
          <t>Minibar</t>
        </is>
      </c>
      <c r="F80" s="12" t="inlineStr">
        <is>
          <t>Minibar Posting</t>
        </is>
      </c>
      <c r="G80" s="12" t="inlineStr">
        <is>
          <t>Enable housekeeping users to manage minibar through the Minibar Posting workflow with real-time status, validations and traceability.</t>
        </is>
      </c>
      <c r="H80" s="12" t="inlineStr">
        <is>
          <t>Provide role-aware search, view, validate, process, reverse with approval, audit; support search and filters; validate mandatory fields and business conflicts; persist changes atomically; refresh related availability, balances or task status; record user, timestamp and reason for sensitive changes.</t>
        </is>
      </c>
      <c r="I80" s="12" t="inlineStr">
        <is>
          <t>Search, view, validate, process, reverse with approval, audit</t>
        </is>
      </c>
      <c r="J80" s="12" t="inlineStr">
        <is>
          <t>Housekeeping Manager / Supervisor / Attendant</t>
        </is>
      </c>
      <c r="K80" s="12" t="inlineStr">
        <is>
          <t>Should Have</t>
        </is>
      </c>
      <c r="L80" s="12" t="inlineStr">
        <is>
          <t>5. Housekeeping &amp; Guest Services</t>
        </is>
      </c>
      <c r="M80" s="12" t="inlineStr">
        <is>
          <t>S10-S11</t>
        </is>
      </c>
      <c r="N80" s="12" t="inlineStr">
        <is>
          <t>Not Started</t>
        </is>
      </c>
      <c r="O80" s="13">
        <f>IF(N80="Done",1,IF(N80="QA",0.9,IF(N80="Integration",0.75,IF(N80="Frontend",0.55,IF(N80="Backend",0.35,IF(N80="UX/UI",0.1,0))))))</f>
        <v/>
      </c>
      <c r="P80" s="12" t="inlineStr">
        <is>
          <t>Rooms, Workforce, Inventory</t>
        </is>
      </c>
      <c r="Q80" s="12" t="inlineStr">
        <is>
          <t>Responsive desktop/tablet UI; loading, empty, error and permission states; filters; form validation; accessible interactions</t>
        </is>
      </c>
      <c r="R80" s="12" t="inlineStr">
        <is>
          <t>GET, POST/PATCH /api/v1/minibar-posting; lookup, validation and audit endpoints; idempotency for financial/booking writes</t>
        </is>
      </c>
      <c r="S80" s="12" t="inlineStr">
        <is>
          <t>housekeeping_tasks, room_status_logs, lost_found, linen_movements, minibar_postings</t>
        </is>
      </c>
      <c r="T80" s="12" t="inlineStr">
        <is>
          <t>Tenant/property scope; required fields; optimistic locking; timezone-safe dates; reason mandatory for overrides; valid status transition; linked-record integrity</t>
        </is>
      </c>
      <c r="U80" s="12" t="inlineStr">
        <is>
          <t>Authorized users can complete the primary minibar posting workflow; invalid or conflicting actions are blocked with clear messages; saved changes appear in related screens; sensitive changes are auditable.</t>
        </is>
      </c>
      <c r="V80" s="12" t="inlineStr">
        <is>
          <t>RBAC, tenant and property isolation, server-side authorization, audit event for create/update/delete/override</t>
        </is>
      </c>
      <c r="W80" s="12" t="n"/>
      <c r="X80" s="14" t="n"/>
      <c r="Y80" s="14" t="n"/>
      <c r="Z80" s="12" t="n"/>
    </row>
    <row r="81" ht="70" customHeight="1" s="43">
      <c r="A81" s="10" t="n">
        <v>69</v>
      </c>
      <c r="B81" s="11" t="inlineStr">
        <is>
          <t>SCR-077</t>
        </is>
      </c>
      <c r="C81" s="12" t="inlineStr">
        <is>
          <t>Completed</t>
        </is>
      </c>
      <c r="D81" s="12" t="inlineStr">
        <is>
          <t>Food &amp; Beverage</t>
        </is>
      </c>
      <c r="E81" s="12" t="inlineStr">
        <is>
          <t>Restaurant Layout</t>
        </is>
      </c>
      <c r="F81" s="12" t="inlineStr">
        <is>
          <t>Restaurant Table and Floor Plan</t>
        </is>
      </c>
      <c r="G81" s="12" t="inlineStr">
        <is>
          <t>Enable food &amp; beverage users to manage restaurant layout through the Restaurant Table and Floor Plan workflow with real-time status, validations and traceability.</t>
        </is>
      </c>
      <c r="H8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81" s="12" t="inlineStr">
        <is>
          <t>List, search, filter, view, create, edit, cancel/delete where allowed, export, audit</t>
        </is>
      </c>
      <c r="J81" s="12" t="inlineStr">
        <is>
          <t>F&amp;B Manager / Server / POS Cashier / Kitchen</t>
        </is>
      </c>
      <c r="K81" s="12" t="inlineStr">
        <is>
          <t>Should Have</t>
        </is>
      </c>
      <c r="L81" s="12" t="inlineStr">
        <is>
          <t>6. Restaurant POS &amp; Kitchen</t>
        </is>
      </c>
      <c r="M81" s="12" t="inlineStr">
        <is>
          <t>S12-S13</t>
        </is>
      </c>
      <c r="N81" s="12" t="inlineStr">
        <is>
          <t>Not Started</t>
        </is>
      </c>
      <c r="O81" s="13">
        <f>IF(N81="Done",1,IF(N81="QA",0.9,IF(N81="Integration",0.75,IF(N81="Frontend",0.55,IF(N81="Backend",0.35,IF(N81="UX/UI",0.1,0))))))</f>
        <v/>
      </c>
      <c r="P81" s="12" t="inlineStr">
        <is>
          <t>Inventory, Finance, Guests</t>
        </is>
      </c>
      <c r="Q81" s="12" t="inlineStr">
        <is>
          <t>Responsive desktop/tablet UI; loading, empty, error and permission states; filters; form validation; accessible interactions</t>
        </is>
      </c>
      <c r="R81" s="12" t="inlineStr">
        <is>
          <t>GET, POST, PUT/PATCH, DELETE /api/v1/restaurant-table-and-floor-plan; lookup, validation and audit endpoints; idempotency for financial/booking writes</t>
        </is>
      </c>
      <c r="S81" s="12" t="inlineStr">
        <is>
          <t>outlets, tables, menu_items, pos_orders, pos_bills, kitchen_tickets</t>
        </is>
      </c>
      <c r="T81" s="12" t="inlineStr">
        <is>
          <t>Tenant/property scope; required fields; optimistic locking; timezone-safe dates; reason mandatory for overrides; currency precision; tax/rate totals; approval limit; no unbalanced or duplicate posting</t>
        </is>
      </c>
      <c r="U81" s="12" t="inlineStr">
        <is>
          <t>Authorized users can complete the primary restaurant table and floor plan workflow; invalid or conflicting actions are blocked with clear messages; saved changes appear in related screens; sensitive changes are auditable.</t>
        </is>
      </c>
      <c r="V81" s="12" t="inlineStr">
        <is>
          <t>RBAC, tenant and property isolation, server-side authorization, audit event for create/update/delete/override</t>
        </is>
      </c>
      <c r="W81" s="12" t="n"/>
      <c r="X81" s="14" t="n"/>
      <c r="Y81" s="14" t="n"/>
      <c r="Z81" s="12" t="n"/>
    </row>
    <row r="82" ht="70" customHeight="1" s="43">
      <c r="A82" s="10" t="n">
        <v>70</v>
      </c>
      <c r="B82" s="11" t="inlineStr">
        <is>
          <t>SCR-078</t>
        </is>
      </c>
      <c r="C82" s="12" t="inlineStr">
        <is>
          <t>Completed</t>
        </is>
      </c>
      <c r="D82" s="12" t="inlineStr">
        <is>
          <t>Food &amp; Beverage</t>
        </is>
      </c>
      <c r="E82" s="12" t="inlineStr">
        <is>
          <t>Order Management</t>
        </is>
      </c>
      <c r="F82" s="12" t="inlineStr">
        <is>
          <t>POS Order Details</t>
        </is>
      </c>
      <c r="G82" s="12" t="inlineStr">
        <is>
          <t>Enable food &amp; beverage users to manage order management through the POS Order Details workflow with real-time status, validations and traceability.</t>
        </is>
      </c>
      <c r="H8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82" s="12" t="inlineStr">
        <is>
          <t>List, search, filter, view, create, edit, cancel/delete where allowed, export, audit</t>
        </is>
      </c>
      <c r="J82" s="12" t="inlineStr">
        <is>
          <t>F&amp;B Manager / Server / POS Cashier / Kitchen</t>
        </is>
      </c>
      <c r="K82" s="12" t="inlineStr">
        <is>
          <t>Should Have</t>
        </is>
      </c>
      <c r="L82" s="12" t="inlineStr">
        <is>
          <t>6. Restaurant POS &amp; Kitchen</t>
        </is>
      </c>
      <c r="M82" s="12" t="inlineStr">
        <is>
          <t>S12-S13</t>
        </is>
      </c>
      <c r="N82" s="12" t="inlineStr">
        <is>
          <t>Not Started</t>
        </is>
      </c>
      <c r="O82" s="13">
        <f>IF(N82="Done",1,IF(N82="QA",0.9,IF(N82="Integration",0.75,IF(N82="Frontend",0.55,IF(N82="Backend",0.35,IF(N82="UX/UI",0.1,0))))))</f>
        <v/>
      </c>
      <c r="P82" s="12" t="inlineStr">
        <is>
          <t>Inventory, Finance, Guests</t>
        </is>
      </c>
      <c r="Q82" s="12" t="inlineStr">
        <is>
          <t>Responsive desktop/tablet UI; loading, empty, error and permission states; filters; form validation; accessible interactions</t>
        </is>
      </c>
      <c r="R82" s="12" t="inlineStr">
        <is>
          <t>GET, POST, PUT/PATCH, DELETE /api/v1/pos-order-details; lookup, validation and audit endpoints; idempotency for financial/booking writes</t>
        </is>
      </c>
      <c r="S82" s="12" t="inlineStr">
        <is>
          <t>outlets, tables, menu_items, pos_orders, pos_bills, kitchen_tickets</t>
        </is>
      </c>
      <c r="T82" s="12" t="inlineStr">
        <is>
          <t>Tenant/property scope; required fields; optimistic locking; timezone-safe dates; reason mandatory for overrides; currency precision; tax/rate totals; approval limit; no unbalanced or duplicate posting</t>
        </is>
      </c>
      <c r="U82" s="12" t="inlineStr">
        <is>
          <t>Authorized users can complete the primary pos order details workflow; invalid or conflicting actions are blocked with clear messages; saved changes appear in related screens; sensitive changes are auditable.</t>
        </is>
      </c>
      <c r="V82" s="12" t="inlineStr">
        <is>
          <t>RBAC, tenant and property isolation, server-side authorization, audit event for create/update/delete/override</t>
        </is>
      </c>
      <c r="W82" s="12" t="n"/>
      <c r="X82" s="14" t="n"/>
      <c r="Y82" s="14" t="n"/>
      <c r="Z82" s="12" t="n"/>
    </row>
    <row r="83" ht="70" customHeight="1" s="43">
      <c r="A83" s="10" t="n">
        <v>71</v>
      </c>
      <c r="B83" s="11" t="inlineStr">
        <is>
          <t>SCR-079</t>
        </is>
      </c>
      <c r="C83" s="12" t="inlineStr">
        <is>
          <t>Completed</t>
        </is>
      </c>
      <c r="D83" s="12" t="inlineStr">
        <is>
          <t>Food &amp; Beverage</t>
        </is>
      </c>
      <c r="E83" s="12" t="inlineStr">
        <is>
          <t>Order Management</t>
        </is>
      </c>
      <c r="F83" s="12" t="inlineStr">
        <is>
          <t>Modify POS Order</t>
        </is>
      </c>
      <c r="G83" s="12" t="inlineStr">
        <is>
          <t>Enable food &amp; beverage users to manage order management through the Modify POS Order workflow with real-time status, validations and traceability.</t>
        </is>
      </c>
      <c r="H8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83" s="12" t="inlineStr">
        <is>
          <t>List, search, filter, view, create, edit, cancel/delete where allowed, export, audit</t>
        </is>
      </c>
      <c r="J83" s="12" t="inlineStr">
        <is>
          <t>F&amp;B Manager / Server / POS Cashier / Kitchen</t>
        </is>
      </c>
      <c r="K83" s="12" t="inlineStr">
        <is>
          <t>Should Have</t>
        </is>
      </c>
      <c r="L83" s="12" t="inlineStr">
        <is>
          <t>6. Restaurant POS &amp; Kitchen</t>
        </is>
      </c>
      <c r="M83" s="12" t="inlineStr">
        <is>
          <t>S12-S13</t>
        </is>
      </c>
      <c r="N83" s="12" t="inlineStr">
        <is>
          <t>Not Started</t>
        </is>
      </c>
      <c r="O83" s="13">
        <f>IF(N83="Done",1,IF(N83="QA",0.9,IF(N83="Integration",0.75,IF(N83="Frontend",0.55,IF(N83="Backend",0.35,IF(N83="UX/UI",0.1,0))))))</f>
        <v/>
      </c>
      <c r="P83" s="12" t="inlineStr">
        <is>
          <t>Inventory, Finance, Guests</t>
        </is>
      </c>
      <c r="Q83" s="12" t="inlineStr">
        <is>
          <t>Responsive desktop/tablet UI; loading, empty, error and permission states; filters; form validation; accessible interactions</t>
        </is>
      </c>
      <c r="R83" s="12" t="inlineStr">
        <is>
          <t>GET, POST, PUT/PATCH, DELETE /api/v1/modify-pos-order; lookup, validation and audit endpoints; idempotency for financial/booking writes</t>
        </is>
      </c>
      <c r="S83" s="12" t="inlineStr">
        <is>
          <t>outlets, tables, menu_items, pos_orders, pos_bills, kitchen_tickets</t>
        </is>
      </c>
      <c r="T83" s="12" t="inlineStr">
        <is>
          <t>Tenant/property scope; required fields; optimistic locking; timezone-safe dates; reason mandatory for overrides; currency precision; tax/rate totals; approval limit; no unbalanced or duplicate posting</t>
        </is>
      </c>
      <c r="U83" s="12" t="inlineStr">
        <is>
          <t>Authorized users can complete the primary modify pos order workflow; invalid or conflicting actions are blocked with clear messages; saved changes appear in related screens; sensitive changes are auditable.</t>
        </is>
      </c>
      <c r="V83" s="12" t="inlineStr">
        <is>
          <t>RBAC, tenant and property isolation, server-side authorization, audit event for create/update/delete/override</t>
        </is>
      </c>
      <c r="W83" s="12" t="n"/>
      <c r="X83" s="14" t="n"/>
      <c r="Y83" s="14" t="n"/>
      <c r="Z83" s="12" t="n"/>
    </row>
    <row r="84" ht="70" customHeight="1" s="43">
      <c r="A84" s="10" t="n">
        <v>72</v>
      </c>
      <c r="B84" s="11" t="inlineStr">
        <is>
          <t>SCR-080</t>
        </is>
      </c>
      <c r="C84" s="12" t="inlineStr">
        <is>
          <t>Completed</t>
        </is>
      </c>
      <c r="D84" s="12" t="inlineStr">
        <is>
          <t>Food &amp; Beverage</t>
        </is>
      </c>
      <c r="E84" s="12" t="inlineStr">
        <is>
          <t>Billing</t>
        </is>
      </c>
      <c r="F84" s="12" t="inlineStr">
        <is>
          <t>Split or Merge POS Bill</t>
        </is>
      </c>
      <c r="G84" s="12" t="inlineStr">
        <is>
          <t>Enable food &amp; beverage users to manage billing through the Split or Merge POS Bill workflow with real-time status, validations and traceability.</t>
        </is>
      </c>
      <c r="H84" s="12" t="inlineStr">
        <is>
          <t>Provide role-aware search, compare, select survivor, merge, undo where allowed, audit; support search and filters; validate mandatory fields and business conflicts; persist changes atomically; refresh related availability, balances or task status; record user, timestamp and reason for sensitive changes.</t>
        </is>
      </c>
      <c r="I84" s="12" t="inlineStr">
        <is>
          <t>Search, compare, select survivor, merge, undo where allowed, audit</t>
        </is>
      </c>
      <c r="J84" s="12" t="inlineStr">
        <is>
          <t>F&amp;B Manager / Server / POS Cashier / Kitchen</t>
        </is>
      </c>
      <c r="K84" s="12" t="inlineStr">
        <is>
          <t>Should Have</t>
        </is>
      </c>
      <c r="L84" s="12" t="inlineStr">
        <is>
          <t>6. Restaurant POS &amp; Kitchen</t>
        </is>
      </c>
      <c r="M84" s="12" t="inlineStr">
        <is>
          <t>S12-S13</t>
        </is>
      </c>
      <c r="N84" s="12" t="inlineStr">
        <is>
          <t>Not Started</t>
        </is>
      </c>
      <c r="O84" s="13">
        <f>IF(N84="Done",1,IF(N84="QA",0.9,IF(N84="Integration",0.75,IF(N84="Frontend",0.55,IF(N84="Backend",0.35,IF(N84="UX/UI",0.1,0))))))</f>
        <v/>
      </c>
      <c r="P84" s="12" t="inlineStr">
        <is>
          <t>Inventory, Finance, Guests</t>
        </is>
      </c>
      <c r="Q84" s="12" t="inlineStr">
        <is>
          <t>Responsive desktop/tablet UI; loading, empty, error and permission states; filters; form validation; accessible interactions</t>
        </is>
      </c>
      <c r="R84" s="12" t="inlineStr">
        <is>
          <t>GET, POST/PATCH /api/v1/split-or-merge-pos-bill; lookup, validation and audit endpoints; idempotency for financial/booking writes</t>
        </is>
      </c>
      <c r="S84" s="12" t="inlineStr">
        <is>
          <t>outlets, tables, menu_items, pos_orders, pos_bills, kitchen_tickets</t>
        </is>
      </c>
      <c r="T84" s="12" t="inlineStr">
        <is>
          <t>Tenant/property scope; required fields; optimistic locking; timezone-safe dates; reason mandatory for overrides; currency precision; tax/rate totals; approval limit; no unbalanced or duplicate posting</t>
        </is>
      </c>
      <c r="U84" s="12" t="inlineStr">
        <is>
          <t>Authorized users can complete the primary split or merge pos bill workflow; invalid or conflicting actions are blocked with clear messages; saved changes appear in related screens; sensitive changes are auditable.</t>
        </is>
      </c>
      <c r="V84" s="12" t="inlineStr">
        <is>
          <t>RBAC, tenant and property isolation, server-side authorization, audit event for create/update/delete/override</t>
        </is>
      </c>
      <c r="W84" s="12" t="n"/>
      <c r="X84" s="14" t="n"/>
      <c r="Y84" s="14" t="n"/>
      <c r="Z84" s="12" t="n"/>
    </row>
    <row r="85" ht="70" customHeight="1" s="43">
      <c r="A85" s="10" t="n">
        <v>73</v>
      </c>
      <c r="B85" s="11" t="inlineStr">
        <is>
          <t>SCR-081</t>
        </is>
      </c>
      <c r="C85" s="12" t="inlineStr">
        <is>
          <t>Completed</t>
        </is>
      </c>
      <c r="D85" s="12" t="inlineStr">
        <is>
          <t>Food &amp; Beverage</t>
        </is>
      </c>
      <c r="E85" s="12" t="inlineStr">
        <is>
          <t>Controls</t>
        </is>
      </c>
      <c r="F85" s="12" t="inlineStr">
        <is>
          <t>POS Void and Discount Approval</t>
        </is>
      </c>
      <c r="G85" s="12" t="inlineStr">
        <is>
          <t>Enable food &amp; beverage users to manage controls through the POS Void and Discount Approval workflow with real-time status, validations and traceability.</t>
        </is>
      </c>
      <c r="H85" s="12" t="inlineStr">
        <is>
          <t>Provide role-aware view, approve, reject, comment, escalate, audit; support search and filters; validate mandatory fields and business conflicts; persist changes atomically; refresh related availability, balances or task status; record user, timestamp and reason for sensitive changes.</t>
        </is>
      </c>
      <c r="I85" s="12" t="inlineStr">
        <is>
          <t>View, approve, reject, comment, escalate, audit</t>
        </is>
      </c>
      <c r="J85" s="12" t="inlineStr">
        <is>
          <t>F&amp;B Manager / Server / POS Cashier / Kitchen</t>
        </is>
      </c>
      <c r="K85" s="12" t="inlineStr">
        <is>
          <t>Should Have</t>
        </is>
      </c>
      <c r="L85" s="12" t="inlineStr">
        <is>
          <t>6. Restaurant POS &amp; Kitchen</t>
        </is>
      </c>
      <c r="M85" s="12" t="inlineStr">
        <is>
          <t>S12-S13</t>
        </is>
      </c>
      <c r="N85" s="12" t="inlineStr">
        <is>
          <t>Not Started</t>
        </is>
      </c>
      <c r="O85" s="13">
        <f>IF(N85="Done",1,IF(N85="QA",0.9,IF(N85="Integration",0.75,IF(N85="Frontend",0.55,IF(N85="Backend",0.35,IF(N85="UX/UI",0.1,0))))))</f>
        <v/>
      </c>
      <c r="P85" s="12" t="inlineStr">
        <is>
          <t>Inventory, Finance, Guests</t>
        </is>
      </c>
      <c r="Q85" s="12" t="inlineStr">
        <is>
          <t>Responsive desktop/tablet UI; loading, empty, error and permission states; filters; form validation; accessible interactions</t>
        </is>
      </c>
      <c r="R85" s="12" t="inlineStr">
        <is>
          <t>GET, POST/PATCH /api/v1/pos-void-and-discount-approval; lookup, validation and audit endpoints; idempotency for financial/booking writes</t>
        </is>
      </c>
      <c r="S85" s="12" t="inlineStr">
        <is>
          <t>outlets, tables, menu_items, pos_orders, pos_bills, kitchen_tickets</t>
        </is>
      </c>
      <c r="T85" s="12" t="inlineStr">
        <is>
          <t>Tenant/property scope; required fields; optimistic locking; timezone-safe dates; reason mandatory for overrides; currency precision; tax/rate totals; approval limit; no unbalanced or duplicate posting</t>
        </is>
      </c>
      <c r="U85" s="12" t="inlineStr">
        <is>
          <t>Authorized users can complete the primary pos void and discount approval workflow; invalid or conflicting actions are blocked with clear messages; saved changes appear in related screens; sensitive changes are auditable.</t>
        </is>
      </c>
      <c r="V85" s="12" t="inlineStr">
        <is>
          <t>RBAC, tenant and property isolation, server-side authorization, audit event for create/update/delete/override</t>
        </is>
      </c>
      <c r="W85" s="12" t="n"/>
      <c r="X85" s="14" t="n"/>
      <c r="Y85" s="14" t="n"/>
      <c r="Z85" s="12" t="n"/>
    </row>
    <row r="86" ht="70" customHeight="1" s="43">
      <c r="A86" s="10" t="n">
        <v>74</v>
      </c>
      <c r="B86" s="11" t="inlineStr">
        <is>
          <t>SCR-082</t>
        </is>
      </c>
      <c r="C86" s="12" t="inlineStr">
        <is>
          <t>Completed</t>
        </is>
      </c>
      <c r="D86" s="12" t="inlineStr">
        <is>
          <t>Food &amp; Beverage</t>
        </is>
      </c>
      <c r="E86" s="12" t="inlineStr">
        <is>
          <t>Menu Master</t>
        </is>
      </c>
      <c r="F86" s="12" t="inlineStr">
        <is>
          <t>Menu Item Management</t>
        </is>
      </c>
      <c r="G86" s="12" t="inlineStr">
        <is>
          <t>Enable food &amp; beverage users to manage menu master through the Menu Item Management workflow with real-time status, validations and traceability.</t>
        </is>
      </c>
      <c r="H86"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86" s="12" t="inlineStr">
        <is>
          <t>List, view, create, edit, activate/deactivate, delete where safe, audit</t>
        </is>
      </c>
      <c r="J86" s="12" t="inlineStr">
        <is>
          <t>F&amp;B Manager / Server / POS Cashier / Kitchen</t>
        </is>
      </c>
      <c r="K86" s="12" t="inlineStr">
        <is>
          <t>Should Have</t>
        </is>
      </c>
      <c r="L86" s="12" t="inlineStr">
        <is>
          <t>6. Restaurant POS &amp; Kitchen</t>
        </is>
      </c>
      <c r="M86" s="12" t="inlineStr">
        <is>
          <t>S12-S13</t>
        </is>
      </c>
      <c r="N86" s="12" t="inlineStr">
        <is>
          <t>Not Started</t>
        </is>
      </c>
      <c r="O86" s="13">
        <f>IF(N86="Done",1,IF(N86="QA",0.9,IF(N86="Integration",0.75,IF(N86="Frontend",0.55,IF(N86="Backend",0.35,IF(N86="UX/UI",0.1,0))))))</f>
        <v/>
      </c>
      <c r="P86" s="12" t="inlineStr">
        <is>
          <t>Inventory, Finance, Guests</t>
        </is>
      </c>
      <c r="Q86" s="12" t="inlineStr">
        <is>
          <t>Responsive desktop/tablet UI; loading, empty, error and permission states; filters; form validation; accessible interactions</t>
        </is>
      </c>
      <c r="R86" s="12" t="inlineStr">
        <is>
          <t>GET, POST, PUT/PATCH, DELETE /api/v1/menu-item-management; lookup, validation and audit endpoints; idempotency for financial/booking writes</t>
        </is>
      </c>
      <c r="S86" s="12" t="inlineStr">
        <is>
          <t>outlets, tables, menu_items, pos_orders, pos_bills, kitchen_tickets</t>
        </is>
      </c>
      <c r="T86" s="12" t="inlineStr">
        <is>
          <t>Tenant/property scope; required fields; optimistic locking; timezone-safe dates; reason mandatory for overrides; currency precision; tax/rate totals; approval limit; no unbalanced or duplicate posting</t>
        </is>
      </c>
      <c r="U86" s="12" t="inlineStr">
        <is>
          <t>Authorized users can complete the primary menu item management workflow; invalid or conflicting actions are blocked with clear messages; saved changes appear in related screens; sensitive changes are auditable.</t>
        </is>
      </c>
      <c r="V86" s="12" t="inlineStr">
        <is>
          <t>RBAC, tenant and property isolation, server-side authorization, audit event for create/update/delete/override</t>
        </is>
      </c>
      <c r="W86" s="12" t="n"/>
      <c r="X86" s="14" t="n"/>
      <c r="Y86" s="14" t="n"/>
      <c r="Z86" s="12" t="n"/>
    </row>
    <row r="87" ht="70" customHeight="1" s="43">
      <c r="A87" s="10" t="n">
        <v>75</v>
      </c>
      <c r="B87" s="11" t="inlineStr">
        <is>
          <t>SCR-083</t>
        </is>
      </c>
      <c r="C87" s="12" t="inlineStr">
        <is>
          <t>Completed</t>
        </is>
      </c>
      <c r="D87" s="12" t="inlineStr">
        <is>
          <t>Food &amp; Beverage</t>
        </is>
      </c>
      <c r="E87" s="12" t="inlineStr">
        <is>
          <t>Outlet Configuration</t>
        </is>
      </c>
      <c r="F87" s="12" t="inlineStr">
        <is>
          <t>Outlet and Table Configuration</t>
        </is>
      </c>
      <c r="G87" s="12" t="inlineStr">
        <is>
          <t>Enable food &amp; beverage users to manage outlet configuration through the Outlet and Table Configuration workflow with real-time status, validations and traceability.</t>
        </is>
      </c>
      <c r="H87"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87" s="12" t="inlineStr">
        <is>
          <t>List, view, create, edit, activate/deactivate, delete where safe, audit</t>
        </is>
      </c>
      <c r="J87" s="12" t="inlineStr">
        <is>
          <t>F&amp;B Manager / Server / POS Cashier / Kitchen</t>
        </is>
      </c>
      <c r="K87" s="12" t="inlineStr">
        <is>
          <t>Should Have</t>
        </is>
      </c>
      <c r="L87" s="12" t="inlineStr">
        <is>
          <t>6. Restaurant POS &amp; Kitchen</t>
        </is>
      </c>
      <c r="M87" s="12" t="inlineStr">
        <is>
          <t>S12-S13</t>
        </is>
      </c>
      <c r="N87" s="12" t="inlineStr">
        <is>
          <t>Not Started</t>
        </is>
      </c>
      <c r="O87" s="13">
        <f>IF(N87="Done",1,IF(N87="QA",0.9,IF(N87="Integration",0.75,IF(N87="Frontend",0.55,IF(N87="Backend",0.35,IF(N87="UX/UI",0.1,0))))))</f>
        <v/>
      </c>
      <c r="P87" s="12" t="inlineStr">
        <is>
          <t>Inventory, Finance, Guests</t>
        </is>
      </c>
      <c r="Q87" s="12" t="inlineStr">
        <is>
          <t>Responsive desktop/tablet UI; loading, empty, error and permission states; filters; form validation; accessible interactions</t>
        </is>
      </c>
      <c r="R87" s="12" t="inlineStr">
        <is>
          <t>GET, POST, PUT/PATCH, DELETE /api/v1/outlet-and-table-configuration; lookup, validation and audit endpoints; idempotency for financial/booking writes</t>
        </is>
      </c>
      <c r="S87" s="12" t="inlineStr">
        <is>
          <t>outlets, tables, menu_items, pos_orders, pos_bills, kitchen_tickets</t>
        </is>
      </c>
      <c r="T87" s="12" t="inlineStr">
        <is>
          <t>Tenant/property scope; required fields; optimistic locking; timezone-safe dates; reason mandatory for overrides; currency precision; tax/rate totals; approval limit; no unbalanced or duplicate posting</t>
        </is>
      </c>
      <c r="U87" s="12" t="inlineStr">
        <is>
          <t>Authorized users can complete the primary outlet and table configuration workflow; invalid or conflicting actions are blocked with clear messages; saved changes appear in related screens; sensitive changes are auditable.</t>
        </is>
      </c>
      <c r="V87" s="12" t="inlineStr">
        <is>
          <t>RBAC, tenant and property isolation, server-side authorization, audit event for create/update/delete/override</t>
        </is>
      </c>
      <c r="W87" s="12" t="n"/>
      <c r="X87" s="14" t="n"/>
      <c r="Y87" s="14" t="n"/>
      <c r="Z87" s="12" t="n"/>
    </row>
    <row r="88" ht="70" customHeight="1" s="43">
      <c r="A88" s="10" t="n">
        <v>96</v>
      </c>
      <c r="B88" s="11" t="inlineStr">
        <is>
          <t>SCR-084</t>
        </is>
      </c>
      <c r="C88" s="12" t="inlineStr">
        <is>
          <t>Completed</t>
        </is>
      </c>
      <c r="D88" s="12" t="inlineStr">
        <is>
          <t>Activities</t>
        </is>
      </c>
      <c r="E88" s="12" t="inlineStr">
        <is>
          <t>Activity Master</t>
        </is>
      </c>
      <c r="F88" s="12" t="inlineStr">
        <is>
          <t>Create or Edit Activity</t>
        </is>
      </c>
      <c r="G88" s="12" t="inlineStr">
        <is>
          <t>Enable activities users to manage activity master through the Create or Edit Activity workflow with real-time status, validations and traceability.</t>
        </is>
      </c>
      <c r="H88"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88" s="12" t="inlineStr">
        <is>
          <t>List, view, create, edit, activate/deactivate, delete where safe, audit</t>
        </is>
      </c>
      <c r="J88" s="12" t="inlineStr">
        <is>
          <t>Activities Manager / Concierge</t>
        </is>
      </c>
      <c r="K88" s="12" t="inlineStr">
        <is>
          <t>Could Have</t>
        </is>
      </c>
      <c r="L88" s="12" t="inlineStr">
        <is>
          <t>9. Activities, Spa, Events &amp; Transport</t>
        </is>
      </c>
      <c r="M88" s="12" t="inlineStr">
        <is>
          <t>S17-S19</t>
        </is>
      </c>
      <c r="N88" s="12" t="inlineStr">
        <is>
          <t>Not Started</t>
        </is>
      </c>
      <c r="O88" s="13">
        <f>IF(N88="Done",1,IF(N88="QA",0.9,IF(N88="Integration",0.75,IF(N88="Frontend",0.55,IF(N88="Backend",0.35,IF(N88="UX/UI",0.1,0))))))</f>
        <v/>
      </c>
      <c r="P88" s="12" t="inlineStr">
        <is>
          <t>Guests, Resources, Finance</t>
        </is>
      </c>
      <c r="Q88" s="12" t="inlineStr">
        <is>
          <t>Responsive desktop/tablet UI; loading, empty, error and permission states; filters; form validation; accessible interactions</t>
        </is>
      </c>
      <c r="R88" s="12" t="inlineStr">
        <is>
          <t>GET, POST, PUT/PATCH, DELETE /api/v1/create-or-edit-activity; lookup, validation and audit endpoints; idempotency for financial/booking writes</t>
        </is>
      </c>
      <c r="S88" s="12" t="inlineStr">
        <is>
          <t>activities, activity_slots, activity_bookings</t>
        </is>
      </c>
      <c r="T88" s="12" t="inlineStr">
        <is>
          <t>Tenant/property scope; required fields; optimistic locking; timezone-safe dates; reason mandatory for overrides; availability and overlap check; status-transition rules; cancellation policy</t>
        </is>
      </c>
      <c r="U88" s="12" t="inlineStr">
        <is>
          <t>Authorized users can complete the primary create or edit activity workflow; invalid or conflicting actions are blocked with clear messages; saved changes appear in related screens; sensitive changes are auditable.</t>
        </is>
      </c>
      <c r="V88" s="12" t="inlineStr">
        <is>
          <t>RBAC, tenant and property isolation, server-side authorization, audit event for create/update/delete/override</t>
        </is>
      </c>
      <c r="W88" s="12" t="n"/>
      <c r="X88" s="14" t="n"/>
      <c r="Y88" s="14" t="n"/>
      <c r="Z88" s="12" t="n"/>
    </row>
    <row r="89" ht="70" customHeight="1" s="43">
      <c r="A89" s="10" t="n">
        <v>97</v>
      </c>
      <c r="B89" s="11" t="inlineStr">
        <is>
          <t>SCR-085</t>
        </is>
      </c>
      <c r="C89" s="12" t="inlineStr">
        <is>
          <t>Completed</t>
        </is>
      </c>
      <c r="D89" s="12" t="inlineStr">
        <is>
          <t>Activities</t>
        </is>
      </c>
      <c r="E89" s="12" t="inlineStr">
        <is>
          <t>Bookings</t>
        </is>
      </c>
      <c r="F89" s="12" t="inlineStr">
        <is>
          <t>Activity Booking Details</t>
        </is>
      </c>
      <c r="G89" s="12" t="inlineStr">
        <is>
          <t>Enable activities users to manage bookings through the Activity Booking Details workflow with real-time status, validations and traceability.</t>
        </is>
      </c>
      <c r="H89"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89" s="12" t="inlineStr">
        <is>
          <t>List, search, filter, view, create, edit, cancel/delete where allowed, export, audit</t>
        </is>
      </c>
      <c r="J89" s="12" t="inlineStr">
        <is>
          <t>Activities Manager / Concierge</t>
        </is>
      </c>
      <c r="K89" s="12" t="inlineStr">
        <is>
          <t>Could Have</t>
        </is>
      </c>
      <c r="L89" s="12" t="inlineStr">
        <is>
          <t>9. Activities, Spa, Events &amp; Transport</t>
        </is>
      </c>
      <c r="M89" s="12" t="inlineStr">
        <is>
          <t>S17-S19</t>
        </is>
      </c>
      <c r="N89" s="12" t="inlineStr">
        <is>
          <t>Not Started</t>
        </is>
      </c>
      <c r="O89" s="13">
        <f>IF(N89="Done",1,IF(N89="QA",0.9,IF(N89="Integration",0.75,IF(N89="Frontend",0.55,IF(N89="Backend",0.35,IF(N89="UX/UI",0.1,0))))))</f>
        <v/>
      </c>
      <c r="P89" s="12" t="inlineStr">
        <is>
          <t>Guests, Resources, Finance</t>
        </is>
      </c>
      <c r="Q89" s="12" t="inlineStr">
        <is>
          <t>Responsive desktop/tablet UI; loading, empty, error and permission states; filters; form validation; accessible interactions</t>
        </is>
      </c>
      <c r="R89" s="12" t="inlineStr">
        <is>
          <t>GET, POST, PUT/PATCH, DELETE /api/v1/activity-booking-details; lookup, validation and audit endpoints; idempotency for financial/booking writes</t>
        </is>
      </c>
      <c r="S89" s="12" t="inlineStr">
        <is>
          <t>activities, activity_slots, activity_bookings</t>
        </is>
      </c>
      <c r="T89" s="12" t="inlineStr">
        <is>
          <t>Tenant/property scope; required fields; optimistic locking; timezone-safe dates; reason mandatory for overrides; availability and overlap check; status-transition rules; cancellation policy</t>
        </is>
      </c>
      <c r="U89" s="12" t="inlineStr">
        <is>
          <t>Authorized users can complete the primary activity booking details workflow; invalid or conflicting actions are blocked with clear messages; saved changes appear in related screens; sensitive changes are auditable.</t>
        </is>
      </c>
      <c r="V89" s="12" t="inlineStr">
        <is>
          <t>RBAC, tenant and property isolation, server-side authorization, audit event for create/update/delete/override</t>
        </is>
      </c>
      <c r="W89" s="12" t="n"/>
      <c r="X89" s="14" t="n"/>
      <c r="Y89" s="14" t="n"/>
      <c r="Z89" s="12" t="n"/>
    </row>
    <row r="90" ht="70" customHeight="1" s="43">
      <c r="A90" s="10" t="n">
        <v>98</v>
      </c>
      <c r="B90" s="11" t="inlineStr">
        <is>
          <t>SCR-086</t>
        </is>
      </c>
      <c r="C90" s="12" t="inlineStr">
        <is>
          <t>Completed</t>
        </is>
      </c>
      <c r="D90" s="12" t="inlineStr">
        <is>
          <t>Spa</t>
        </is>
      </c>
      <c r="E90" s="12" t="inlineStr">
        <is>
          <t>Treatment Master</t>
        </is>
      </c>
      <c r="F90" s="12" t="inlineStr">
        <is>
          <t>Spa Treatment Management</t>
        </is>
      </c>
      <c r="G90" s="12" t="inlineStr">
        <is>
          <t>Enable spa users to manage treatment master through the Spa Treatment Management workflow with real-time status, validations and traceability.</t>
        </is>
      </c>
      <c r="H90"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90" s="12" t="inlineStr">
        <is>
          <t>List, view, create, edit, activate/deactivate, delete where safe, audit</t>
        </is>
      </c>
      <c r="J90" s="12" t="inlineStr">
        <is>
          <t>Spa Manager / Receptionist / Therapist</t>
        </is>
      </c>
      <c r="K90" s="12" t="inlineStr">
        <is>
          <t>Could Have</t>
        </is>
      </c>
      <c r="L90" s="12" t="inlineStr">
        <is>
          <t>9. Activities, Spa, Events &amp; Transport</t>
        </is>
      </c>
      <c r="M90" s="12" t="inlineStr">
        <is>
          <t>S17-S19</t>
        </is>
      </c>
      <c r="N90" s="12" t="inlineStr">
        <is>
          <t>Not Started</t>
        </is>
      </c>
      <c r="O90" s="13">
        <f>IF(N90="Done",1,IF(N90="QA",0.9,IF(N90="Integration",0.75,IF(N90="Frontend",0.55,IF(N90="Backend",0.35,IF(N90="UX/UI",0.1,0))))))</f>
        <v/>
      </c>
      <c r="P90" s="12" t="inlineStr">
        <is>
          <t>Guests, Workforce, Finance</t>
        </is>
      </c>
      <c r="Q90" s="12" t="inlineStr">
        <is>
          <t>Responsive desktop/tablet UI; loading, empty, error and permission states; filters; form validation; accessible interactions</t>
        </is>
      </c>
      <c r="R90" s="12" t="inlineStr">
        <is>
          <t>GET, POST, PUT/PATCH, DELETE /api/v1/spa-treatment-management; lookup, validation and audit endpoints; idempotency for financial/booking writes</t>
        </is>
      </c>
      <c r="S90" s="12" t="inlineStr">
        <is>
          <t>treatments, spa_resources, spa_appointments</t>
        </is>
      </c>
      <c r="T90" s="12" t="inlineStr">
        <is>
          <t>Tenant/property scope; required fields; optimistic locking; timezone-safe dates; reason mandatory for overrides; availability and overlap check; status-transition rules; cancellation policy</t>
        </is>
      </c>
      <c r="U90" s="12" t="inlineStr">
        <is>
          <t>Authorized users can complete the primary spa treatment management workflow; invalid or conflicting actions are blocked with clear messages; saved changes appear in related screens; sensitive changes are auditable.</t>
        </is>
      </c>
      <c r="V90" s="12" t="inlineStr">
        <is>
          <t>RBAC, tenant and property isolation, server-side authorization, audit event for create/update/delete/override</t>
        </is>
      </c>
      <c r="W90" s="12" t="n"/>
      <c r="X90" s="14" t="n"/>
      <c r="Y90" s="14" t="n"/>
      <c r="Z90" s="12" t="n"/>
    </row>
    <row r="91" ht="70" customHeight="1" s="43">
      <c r="A91" s="10" t="n">
        <v>99</v>
      </c>
      <c r="B91" s="11" t="inlineStr">
        <is>
          <t>SCR-087</t>
        </is>
      </c>
      <c r="C91" s="12" t="inlineStr">
        <is>
          <t>Completed</t>
        </is>
      </c>
      <c r="D91" s="12" t="inlineStr">
        <is>
          <t>Spa</t>
        </is>
      </c>
      <c r="E91" s="12" t="inlineStr">
        <is>
          <t>Resources</t>
        </is>
      </c>
      <c r="F91" s="12" t="inlineStr">
        <is>
          <t>Therapist and Resource Scheduling</t>
        </is>
      </c>
      <c r="G91" s="12" t="inlineStr">
        <is>
          <t>Enable spa users to manage resources through the Therapist and Resource Scheduling workflow with real-time status, validations and traceability.</t>
        </is>
      </c>
      <c r="H9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91" s="12" t="inlineStr">
        <is>
          <t>List, search, filter, view, create, edit, cancel/delete where allowed, export, audit</t>
        </is>
      </c>
      <c r="J91" s="12" t="inlineStr">
        <is>
          <t>Spa Manager / Receptionist / Therapist</t>
        </is>
      </c>
      <c r="K91" s="12" t="inlineStr">
        <is>
          <t>Could Have</t>
        </is>
      </c>
      <c r="L91" s="12" t="inlineStr">
        <is>
          <t>9. Activities, Spa, Events &amp; Transport</t>
        </is>
      </c>
      <c r="M91" s="12" t="inlineStr">
        <is>
          <t>S17-S19</t>
        </is>
      </c>
      <c r="N91" s="12" t="inlineStr">
        <is>
          <t>Not Started</t>
        </is>
      </c>
      <c r="O91" s="13">
        <f>IF(N91="Done",1,IF(N91="QA",0.9,IF(N91="Integration",0.75,IF(N91="Frontend",0.55,IF(N91="Backend",0.35,IF(N91="UX/UI",0.1,0))))))</f>
        <v/>
      </c>
      <c r="P91" s="12" t="inlineStr">
        <is>
          <t>Guests, Workforce, Finance</t>
        </is>
      </c>
      <c r="Q91" s="12" t="inlineStr">
        <is>
          <t>Responsive desktop/tablet UI; loading, empty, error and permission states; filters; form validation; accessible interactions</t>
        </is>
      </c>
      <c r="R91" s="12" t="inlineStr">
        <is>
          <t>GET, POST, PUT/PATCH, DELETE /api/v1/therapist-and-resource-scheduling; lookup, validation and audit endpoints; idempotency for financial/booking writes</t>
        </is>
      </c>
      <c r="S91" s="12" t="inlineStr">
        <is>
          <t>treatments, spa_resources, spa_appointments</t>
        </is>
      </c>
      <c r="T91" s="12" t="inlineStr">
        <is>
          <t>Tenant/property scope; required fields; optimistic locking; timezone-safe dates; reason mandatory for overrides; availability and overlap check; status-transition rules; cancellation policy</t>
        </is>
      </c>
      <c r="U91" s="12" t="inlineStr">
        <is>
          <t>Authorized users can complete the primary therapist and resource scheduling workflow; invalid or conflicting actions are blocked with clear messages; saved changes appear in related screens; sensitive changes are auditable.</t>
        </is>
      </c>
      <c r="V91" s="12" t="inlineStr">
        <is>
          <t>RBAC, tenant and property isolation, server-side authorization, audit event for create/update/delete/override</t>
        </is>
      </c>
      <c r="W91" s="12" t="n"/>
      <c r="X91" s="14" t="n"/>
      <c r="Y91" s="14" t="n"/>
      <c r="Z91" s="12" t="n"/>
    </row>
    <row r="92" ht="70" customHeight="1" s="43">
      <c r="A92" s="10" t="n">
        <v>100</v>
      </c>
      <c r="B92" s="11" t="inlineStr">
        <is>
          <t>SCR-088</t>
        </is>
      </c>
      <c r="C92" s="12" t="inlineStr">
        <is>
          <t>Completed</t>
        </is>
      </c>
      <c r="D92" s="12" t="inlineStr">
        <is>
          <t>Spa</t>
        </is>
      </c>
      <c r="E92" s="12" t="inlineStr">
        <is>
          <t>Appointments</t>
        </is>
      </c>
      <c r="F92" s="12" t="inlineStr">
        <is>
          <t>Create or Edit Spa Appointment</t>
        </is>
      </c>
      <c r="G92" s="12" t="inlineStr">
        <is>
          <t>Enable spa users to manage appointments through the Create or Edit Spa Appointment workflow with real-time status, validations and traceability.</t>
        </is>
      </c>
      <c r="H92"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92" s="12" t="inlineStr">
        <is>
          <t>List, view, create, edit, activate/deactivate, delete where safe, audit</t>
        </is>
      </c>
      <c r="J92" s="12" t="inlineStr">
        <is>
          <t>Spa Manager / Receptionist / Therapist</t>
        </is>
      </c>
      <c r="K92" s="12" t="inlineStr">
        <is>
          <t>Could Have</t>
        </is>
      </c>
      <c r="L92" s="12" t="inlineStr">
        <is>
          <t>9. Activities, Spa, Events &amp; Transport</t>
        </is>
      </c>
      <c r="M92" s="12" t="inlineStr">
        <is>
          <t>S17-S19</t>
        </is>
      </c>
      <c r="N92" s="12" t="inlineStr">
        <is>
          <t>Not Started</t>
        </is>
      </c>
      <c r="O92" s="13">
        <f>IF(N92="Done",1,IF(N92="QA",0.9,IF(N92="Integration",0.75,IF(N92="Frontend",0.55,IF(N92="Backend",0.35,IF(N92="UX/UI",0.1,0))))))</f>
        <v/>
      </c>
      <c r="P92" s="12" t="inlineStr">
        <is>
          <t>Guests, Workforce, Finance</t>
        </is>
      </c>
      <c r="Q92" s="12" t="inlineStr">
        <is>
          <t>Responsive desktop/tablet UI; loading, empty, error and permission states; filters; form validation; accessible interactions</t>
        </is>
      </c>
      <c r="R92" s="12" t="inlineStr">
        <is>
          <t>GET, POST, PUT/PATCH, DELETE /api/v1/create-or-edit-spa-appointment; lookup, validation and audit endpoints; idempotency for financial/booking writes</t>
        </is>
      </c>
      <c r="S92" s="12" t="inlineStr">
        <is>
          <t>treatments, spa_resources, spa_appointments</t>
        </is>
      </c>
      <c r="T92" s="12" t="inlineStr">
        <is>
          <t>Tenant/property scope; required fields; optimistic locking; timezone-safe dates; reason mandatory for overrides; availability and overlap check; status-transition rules; cancellation policy</t>
        </is>
      </c>
      <c r="U92" s="12" t="inlineStr">
        <is>
          <t>Authorized users can complete the primary create or edit spa appointment workflow; invalid or conflicting actions are blocked with clear messages; saved changes appear in related screens; sensitive changes are auditable.</t>
        </is>
      </c>
      <c r="V92" s="12" t="inlineStr">
        <is>
          <t>RBAC, tenant and property isolation, server-side authorization, audit event for create/update/delete/override</t>
        </is>
      </c>
      <c r="W92" s="12" t="n"/>
      <c r="X92" s="14" t="n"/>
      <c r="Y92" s="14" t="n"/>
      <c r="Z92" s="12" t="n"/>
    </row>
    <row r="93" ht="70" customHeight="1" s="43">
      <c r="A93" s="10" t="n">
        <v>101</v>
      </c>
      <c r="B93" s="11" t="inlineStr">
        <is>
          <t>SCR-089</t>
        </is>
      </c>
      <c r="C93" s="12" t="inlineStr">
        <is>
          <t>Completed</t>
        </is>
      </c>
      <c r="D93" s="12" t="inlineStr">
        <is>
          <t>Events &amp; Banquets</t>
        </is>
      </c>
      <c r="E93" s="12" t="inlineStr">
        <is>
          <t>Lead Management</t>
        </is>
      </c>
      <c r="F93" s="12" t="inlineStr">
        <is>
          <t>Event Enquiry and Lead</t>
        </is>
      </c>
      <c r="G93" s="12" t="inlineStr">
        <is>
          <t>Enable events &amp; banquets users to manage lead management through the Event Enquiry and Lead workflow with real-time status, validations and traceability.</t>
        </is>
      </c>
      <c r="H9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93" s="12" t="inlineStr">
        <is>
          <t>List, search, filter, view, create, edit, cancel/delete where allowed, export, audit</t>
        </is>
      </c>
      <c r="J93" s="12" t="inlineStr">
        <is>
          <t>Sales / Event Manager / Banquet Operations</t>
        </is>
      </c>
      <c r="K93" s="12" t="inlineStr">
        <is>
          <t>Could Have</t>
        </is>
      </c>
      <c r="L93" s="12" t="inlineStr">
        <is>
          <t>9. Activities, Spa, Events &amp; Transport</t>
        </is>
      </c>
      <c r="M93" s="12" t="inlineStr">
        <is>
          <t>S17-S19</t>
        </is>
      </c>
      <c r="N93" s="12" t="inlineStr">
        <is>
          <t>Not Started</t>
        </is>
      </c>
      <c r="O93" s="13">
        <f>IF(N93="Done",1,IF(N93="QA",0.9,IF(N93="Integration",0.75,IF(N93="Frontend",0.55,IF(N93="Backend",0.35,IF(N93="UX/UI",0.1,0))))))</f>
        <v/>
      </c>
      <c r="P93" s="12" t="inlineStr">
        <is>
          <t>Guests, Inventory, Finance</t>
        </is>
      </c>
      <c r="Q93" s="12" t="inlineStr">
        <is>
          <t>Responsive desktop/tablet UI; loading, empty, error and permission states; filters; form validation; accessible interactions</t>
        </is>
      </c>
      <c r="R93" s="12" t="inlineStr">
        <is>
          <t>GET, POST, PUT/PATCH, DELETE /api/v1/event-enquiry-and-lead; lookup, validation and audit endpoints; idempotency for financial/booking writes</t>
        </is>
      </c>
      <c r="S93" s="12" t="inlineStr">
        <is>
          <t>event_leads, quotations, events, function_sheets</t>
        </is>
      </c>
      <c r="T93" s="12" t="inlineStr">
        <is>
          <t>Tenant/property scope; required fields; optimistic locking; timezone-safe dates; reason mandatory for overrides; availability and overlap check; status-transition rules; cancellation policy</t>
        </is>
      </c>
      <c r="U93" s="12" t="inlineStr">
        <is>
          <t>Authorized users can complete the primary event enquiry and lead workflow; invalid or conflicting actions are blocked with clear messages; saved changes appear in related screens; sensitive changes are auditable.</t>
        </is>
      </c>
      <c r="V93" s="12" t="inlineStr">
        <is>
          <t>RBAC, tenant and property isolation, server-side authorization, audit event for create/update/delete/override</t>
        </is>
      </c>
      <c r="W93" s="12" t="n"/>
      <c r="X93" s="14" t="n"/>
      <c r="Y93" s="14" t="n"/>
      <c r="Z93" s="12" t="n"/>
    </row>
    <row r="94" ht="70" customHeight="1" s="43">
      <c r="A94" s="10" t="n">
        <v>102</v>
      </c>
      <c r="B94" s="11" t="inlineStr">
        <is>
          <t>SCR-090</t>
        </is>
      </c>
      <c r="C94" s="12" t="inlineStr">
        <is>
          <t>Completed</t>
        </is>
      </c>
      <c r="D94" s="12" t="inlineStr">
        <is>
          <t>Events &amp; Banquets</t>
        </is>
      </c>
      <c r="E94" s="12" t="inlineStr">
        <is>
          <t>Quotation</t>
        </is>
      </c>
      <c r="F94" s="12" t="inlineStr">
        <is>
          <t>Event Quotation</t>
        </is>
      </c>
      <c r="G94" s="12" t="inlineStr">
        <is>
          <t>Enable events &amp; banquets users to manage quotation through the Event Quotation workflow with real-time status, validations and traceability.</t>
        </is>
      </c>
      <c r="H94"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94" s="12" t="inlineStr">
        <is>
          <t>List, search, filter, view, create, edit, cancel/delete where allowed, export, audit</t>
        </is>
      </c>
      <c r="J94" s="12" t="inlineStr">
        <is>
          <t>Sales / Event Manager / Banquet Operations</t>
        </is>
      </c>
      <c r="K94" s="12" t="inlineStr">
        <is>
          <t>Could Have</t>
        </is>
      </c>
      <c r="L94" s="12" t="inlineStr">
        <is>
          <t>9. Activities, Spa, Events &amp; Transport</t>
        </is>
      </c>
      <c r="M94" s="12" t="inlineStr">
        <is>
          <t>S17-S19</t>
        </is>
      </c>
      <c r="N94" s="12" t="inlineStr">
        <is>
          <t>Not Started</t>
        </is>
      </c>
      <c r="O94" s="13">
        <f>IF(N94="Done",1,IF(N94="QA",0.9,IF(N94="Integration",0.75,IF(N94="Frontend",0.55,IF(N94="Backend",0.35,IF(N94="UX/UI",0.1,0))))))</f>
        <v/>
      </c>
      <c r="P94" s="12" t="inlineStr">
        <is>
          <t>Guests, Inventory, Finance</t>
        </is>
      </c>
      <c r="Q94" s="12" t="inlineStr">
        <is>
          <t>Responsive desktop/tablet UI; loading, empty, error and permission states; filters; form validation; accessible interactions</t>
        </is>
      </c>
      <c r="R94" s="12" t="inlineStr">
        <is>
          <t>GET, POST, PUT/PATCH, DELETE /api/v1/event-quotation; lookup, validation and audit endpoints; idempotency for financial/booking writes</t>
        </is>
      </c>
      <c r="S94" s="12" t="inlineStr">
        <is>
          <t>event_leads, quotations, events, function_sheets</t>
        </is>
      </c>
      <c r="T94" s="12" t="inlineStr">
        <is>
          <t>Tenant/property scope; required fields; optimistic locking; timezone-safe dates; reason mandatory for overrides; availability and overlap check; status-transition rules; cancellation policy</t>
        </is>
      </c>
      <c r="U94" s="12" t="inlineStr">
        <is>
          <t>Authorized users can complete the primary event quotation workflow; invalid or conflicting actions are blocked with clear messages; saved changes appear in related screens; sensitive changes are auditable.</t>
        </is>
      </c>
      <c r="V94" s="12" t="inlineStr">
        <is>
          <t>RBAC, tenant and property isolation, server-side authorization, audit event for create/update/delete/override</t>
        </is>
      </c>
      <c r="W94" s="12" t="n"/>
      <c r="X94" s="14" t="n"/>
      <c r="Y94" s="14" t="n"/>
      <c r="Z94" s="12" t="n"/>
    </row>
    <row r="95" ht="70" customHeight="1" s="43">
      <c r="A95" s="10" t="n">
        <v>103</v>
      </c>
      <c r="B95" s="11" t="inlineStr">
        <is>
          <t>SCR-091</t>
        </is>
      </c>
      <c r="C95" s="12" t="inlineStr">
        <is>
          <t>Completed</t>
        </is>
      </c>
      <c r="D95" s="12" t="inlineStr">
        <is>
          <t>Events &amp; Banquets</t>
        </is>
      </c>
      <c r="E95" s="12" t="inlineStr">
        <is>
          <t>Event Execution</t>
        </is>
      </c>
      <c r="F95" s="12" t="inlineStr">
        <is>
          <t>Banquet Event Order and Function Sheet</t>
        </is>
      </c>
      <c r="G95" s="12" t="inlineStr">
        <is>
          <t>Enable events &amp; banquets users to manage event execution through the Banquet Event Order and Function Sheet workflow with real-time status, validations and traceability.</t>
        </is>
      </c>
      <c r="H95"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95" s="12" t="inlineStr">
        <is>
          <t>List, search, filter, view, create, edit, cancel/delete where allowed, export, audit</t>
        </is>
      </c>
      <c r="J95" s="12" t="inlineStr">
        <is>
          <t>Sales / Event Manager / Banquet Operations</t>
        </is>
      </c>
      <c r="K95" s="12" t="inlineStr">
        <is>
          <t>Could Have</t>
        </is>
      </c>
      <c r="L95" s="12" t="inlineStr">
        <is>
          <t>9. Activities, Spa, Events &amp; Transport</t>
        </is>
      </c>
      <c r="M95" s="12" t="inlineStr">
        <is>
          <t>S17-S19</t>
        </is>
      </c>
      <c r="N95" s="12" t="inlineStr">
        <is>
          <t>Not Started</t>
        </is>
      </c>
      <c r="O95" s="13">
        <f>IF(N95="Done",1,IF(N95="QA",0.9,IF(N95="Integration",0.75,IF(N95="Frontend",0.55,IF(N95="Backend",0.35,IF(N95="UX/UI",0.1,0))))))</f>
        <v/>
      </c>
      <c r="P95" s="12" t="inlineStr">
        <is>
          <t>Guests, Inventory, Finance</t>
        </is>
      </c>
      <c r="Q95" s="12" t="inlineStr">
        <is>
          <t>Responsive desktop/tablet UI; loading, empty, error and permission states; filters; form validation; accessible interactions</t>
        </is>
      </c>
      <c r="R95" s="12" t="inlineStr">
        <is>
          <t>GET, POST, PUT/PATCH, DELETE /api/v1/banquet-event-order-and-function-sheet; lookup, validation and audit endpoints; idempotency for financial/booking writes</t>
        </is>
      </c>
      <c r="S95" s="12" t="inlineStr">
        <is>
          <t>event_leads, quotations, events, function_sheets</t>
        </is>
      </c>
      <c r="T95" s="12" t="inlineStr">
        <is>
          <t>Tenant/property scope; required fields; optimistic locking; timezone-safe dates; reason mandatory for overrides; availability and overlap check; status-transition rules; cancellation policy</t>
        </is>
      </c>
      <c r="U95" s="12" t="inlineStr">
        <is>
          <t>Authorized users can complete the primary banquet event order and function sheet workflow; invalid or conflicting actions are blocked with clear messages; saved changes appear in related screens; sensitive changes are auditable.</t>
        </is>
      </c>
      <c r="V95" s="12" t="inlineStr">
        <is>
          <t>RBAC, tenant and property isolation, server-side authorization, audit event for create/update/delete/override</t>
        </is>
      </c>
      <c r="W95" s="12" t="n"/>
      <c r="X95" s="14" t="n"/>
      <c r="Y95" s="14" t="n"/>
      <c r="Z95" s="12" t="n"/>
    </row>
    <row r="96" ht="70" customHeight="1" s="43">
      <c r="A96" s="10" t="n">
        <v>104</v>
      </c>
      <c r="B96" s="11" t="inlineStr">
        <is>
          <t>SCR-092</t>
        </is>
      </c>
      <c r="C96" s="12" t="inlineStr">
        <is>
          <t>Completed</t>
        </is>
      </c>
      <c r="D96" s="12" t="inlineStr">
        <is>
          <t>Events &amp; Banquets</t>
        </is>
      </c>
      <c r="E96" s="12" t="inlineStr">
        <is>
          <t>Event Modification</t>
        </is>
      </c>
      <c r="F96" s="12" t="inlineStr">
        <is>
          <t>Modify or Cancel Event</t>
        </is>
      </c>
      <c r="G96" s="12" t="inlineStr">
        <is>
          <t>Enable events &amp; banquets users to manage event modification through the Modify or Cancel Event workflow with real-time status, validations and traceability.</t>
        </is>
      </c>
      <c r="H9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96" s="12" t="inlineStr">
        <is>
          <t>List, search, filter, view, create, edit, cancel/delete where allowed, export, audit</t>
        </is>
      </c>
      <c r="J96" s="12" t="inlineStr">
        <is>
          <t>Sales / Event Manager / Banquet Operations</t>
        </is>
      </c>
      <c r="K96" s="12" t="inlineStr">
        <is>
          <t>Could Have</t>
        </is>
      </c>
      <c r="L96" s="12" t="inlineStr">
        <is>
          <t>9. Activities, Spa, Events &amp; Transport</t>
        </is>
      </c>
      <c r="M96" s="12" t="inlineStr">
        <is>
          <t>S17-S19</t>
        </is>
      </c>
      <c r="N96" s="12" t="inlineStr">
        <is>
          <t>Not Started</t>
        </is>
      </c>
      <c r="O96" s="13">
        <f>IF(N96="Done",1,IF(N96="QA",0.9,IF(N96="Integration",0.75,IF(N96="Frontend",0.55,IF(N96="Backend",0.35,IF(N96="UX/UI",0.1,0))))))</f>
        <v/>
      </c>
      <c r="P96" s="12" t="inlineStr">
        <is>
          <t>Guests, Inventory, Finance</t>
        </is>
      </c>
      <c r="Q96" s="12" t="inlineStr">
        <is>
          <t>Responsive desktop/tablet UI; loading, empty, error and permission states; filters; form validation; accessible interactions</t>
        </is>
      </c>
      <c r="R96" s="12" t="inlineStr">
        <is>
          <t>GET, POST, PUT/PATCH, DELETE /api/v1/modify-or-cancel-event; lookup, validation and audit endpoints; idempotency for financial/booking writes</t>
        </is>
      </c>
      <c r="S96" s="12" t="inlineStr">
        <is>
          <t>event_leads, quotations, events, function_sheets</t>
        </is>
      </c>
      <c r="T96" s="12" t="inlineStr">
        <is>
          <t>Tenant/property scope; required fields; optimistic locking; timezone-safe dates; reason mandatory for overrides; availability and overlap check; status-transition rules; cancellation policy</t>
        </is>
      </c>
      <c r="U96" s="12" t="inlineStr">
        <is>
          <t>Authorized users can complete the primary modify or cancel event workflow; invalid or conflicting actions are blocked with clear messages; saved changes appear in related screens; sensitive changes are auditable.</t>
        </is>
      </c>
      <c r="V96" s="12" t="inlineStr">
        <is>
          <t>RBAC, tenant and property isolation, server-side authorization, audit event for create/update/delete/override</t>
        </is>
      </c>
      <c r="W96" s="12" t="n"/>
      <c r="X96" s="14" t="n"/>
      <c r="Y96" s="14" t="n"/>
      <c r="Z96" s="12" t="n"/>
    </row>
    <row r="97" ht="70" customHeight="1" s="43">
      <c r="A97" s="10" t="n">
        <v>105</v>
      </c>
      <c r="B97" s="11" t="inlineStr">
        <is>
          <t>SCR-093</t>
        </is>
      </c>
      <c r="C97" s="12" t="inlineStr">
        <is>
          <t>Completed</t>
        </is>
      </c>
      <c r="D97" s="12" t="inlineStr">
        <is>
          <t>Transport</t>
        </is>
      </c>
      <c r="E97" s="12" t="inlineStr">
        <is>
          <t>Bookings</t>
        </is>
      </c>
      <c r="F97" s="12" t="inlineStr">
        <is>
          <t>Create or Edit Transport Booking</t>
        </is>
      </c>
      <c r="G97" s="12" t="inlineStr">
        <is>
          <t>Enable transport users to manage bookings through the Create or Edit Transport Booking workflow with real-time status, validations and traceability.</t>
        </is>
      </c>
      <c r="H97"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97" s="12" t="inlineStr">
        <is>
          <t>List, view, create, edit, activate/deactivate, delete where safe, audit</t>
        </is>
      </c>
      <c r="J97" s="12" t="inlineStr">
        <is>
          <t>Transport Manager / Dispatcher / Driver</t>
        </is>
      </c>
      <c r="K97" s="12" t="inlineStr">
        <is>
          <t>Could Have</t>
        </is>
      </c>
      <c r="L97" s="12" t="inlineStr">
        <is>
          <t>9. Activities, Spa, Events &amp; Transport</t>
        </is>
      </c>
      <c r="M97" s="12" t="inlineStr">
        <is>
          <t>S17-S19</t>
        </is>
      </c>
      <c r="N97" s="12" t="inlineStr">
        <is>
          <t>Not Started</t>
        </is>
      </c>
      <c r="O97" s="13">
        <f>IF(N97="Done",1,IF(N97="QA",0.9,IF(N97="Integration",0.75,IF(N97="Frontend",0.55,IF(N97="Backend",0.35,IF(N97="UX/UI",0.1,0))))))</f>
        <v/>
      </c>
      <c r="P97" s="12" t="inlineStr">
        <is>
          <t>Guests, Workforce, Finance</t>
        </is>
      </c>
      <c r="Q97" s="12" t="inlineStr">
        <is>
          <t>Responsive desktop/tablet UI; loading, empty, error and permission states; filters; form validation; accessible interactions</t>
        </is>
      </c>
      <c r="R97" s="12" t="inlineStr">
        <is>
          <t>GET, POST, PUT/PATCH, DELETE /api/v1/create-or-edit-transport-booking; lookup, validation and audit endpoints; idempotency for financial/booking writes</t>
        </is>
      </c>
      <c r="S97" s="12" t="inlineStr">
        <is>
          <t>vehicles, drivers, transport_bookings, trips</t>
        </is>
      </c>
      <c r="T97" s="12" t="inlineStr">
        <is>
          <t>Tenant/property scope; required fields; optimistic locking; timezone-safe dates; reason mandatory for overrides; availability and overlap check; status-transition rules; cancellation policy</t>
        </is>
      </c>
      <c r="U97" s="12" t="inlineStr">
        <is>
          <t>Authorized users can complete the primary create or edit transport booking workflow; invalid or conflicting actions are blocked with clear messages; saved changes appear in related screens; sensitive changes are auditable.</t>
        </is>
      </c>
      <c r="V97" s="12" t="inlineStr">
        <is>
          <t>RBAC, tenant and property isolation, server-side authorization, audit event for create/update/delete/override</t>
        </is>
      </c>
      <c r="W97" s="12" t="n"/>
      <c r="X97" s="14" t="n"/>
      <c r="Y97" s="14" t="n"/>
      <c r="Z97" s="12" t="n"/>
    </row>
    <row r="98" ht="70" customHeight="1" s="43">
      <c r="A98" s="10" t="n">
        <v>106</v>
      </c>
      <c r="B98" s="11" t="inlineStr">
        <is>
          <t>SCR-094</t>
        </is>
      </c>
      <c r="C98" s="12" t="inlineStr">
        <is>
          <t>Completed</t>
        </is>
      </c>
      <c r="D98" s="12" t="inlineStr">
        <is>
          <t>Transport</t>
        </is>
      </c>
      <c r="E98" s="12" t="inlineStr">
        <is>
          <t>Fleet</t>
        </is>
      </c>
      <c r="F98" s="12" t="inlineStr">
        <is>
          <t>Vehicle Management</t>
        </is>
      </c>
      <c r="G98" s="12" t="inlineStr">
        <is>
          <t>Enable transport users to manage fleet through the Vehicle Management workflow with real-time status, validations and traceability.</t>
        </is>
      </c>
      <c r="H98"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98" s="12" t="inlineStr">
        <is>
          <t>List, view, create, edit, activate/deactivate, delete where safe, audit</t>
        </is>
      </c>
      <c r="J98" s="12" t="inlineStr">
        <is>
          <t>Transport Manager / Dispatcher / Driver</t>
        </is>
      </c>
      <c r="K98" s="12" t="inlineStr">
        <is>
          <t>Could Have</t>
        </is>
      </c>
      <c r="L98" s="12" t="inlineStr">
        <is>
          <t>9. Activities, Spa, Events &amp; Transport</t>
        </is>
      </c>
      <c r="M98" s="12" t="inlineStr">
        <is>
          <t>S17-S19</t>
        </is>
      </c>
      <c r="N98" s="12" t="inlineStr">
        <is>
          <t>Not Started</t>
        </is>
      </c>
      <c r="O98" s="13">
        <f>IF(N98="Done",1,IF(N98="QA",0.9,IF(N98="Integration",0.75,IF(N98="Frontend",0.55,IF(N98="Backend",0.35,IF(N98="UX/UI",0.1,0))))))</f>
        <v/>
      </c>
      <c r="P98" s="12" t="inlineStr">
        <is>
          <t>Guests, Workforce, Finance</t>
        </is>
      </c>
      <c r="Q98" s="12" t="inlineStr">
        <is>
          <t>Responsive desktop/tablet UI; loading, empty, error and permission states; filters; form validation; accessible interactions</t>
        </is>
      </c>
      <c r="R98" s="12" t="inlineStr">
        <is>
          <t>GET, POST, PUT/PATCH, DELETE /api/v1/vehicle-management; lookup, validation and audit endpoints; idempotency for financial/booking writes</t>
        </is>
      </c>
      <c r="S98" s="12" t="inlineStr">
        <is>
          <t>vehicles, drivers, transport_bookings, trips</t>
        </is>
      </c>
      <c r="T98" s="12" t="inlineStr">
        <is>
          <t>Tenant/property scope; required fields; optimistic locking; timezone-safe dates; reason mandatory for overrides; availability and overlap check; status-transition rules; cancellation policy</t>
        </is>
      </c>
      <c r="U98" s="12" t="inlineStr">
        <is>
          <t>Authorized users can complete the primary vehicle management workflow; invalid or conflicting actions are blocked with clear messages; saved changes appear in related screens; sensitive changes are auditable.</t>
        </is>
      </c>
      <c r="V98" s="12" t="inlineStr">
        <is>
          <t>RBAC, tenant and property isolation, server-side authorization, audit event for create/update/delete/override</t>
        </is>
      </c>
      <c r="W98" s="12" t="n"/>
      <c r="X98" s="14" t="n"/>
      <c r="Y98" s="14" t="n"/>
      <c r="Z98" s="12" t="n"/>
    </row>
    <row r="99" ht="70" customHeight="1" s="43">
      <c r="A99" s="10" t="n">
        <v>107</v>
      </c>
      <c r="B99" s="11" t="inlineStr">
        <is>
          <t>SCR-095</t>
        </is>
      </c>
      <c r="C99" s="12" t="inlineStr">
        <is>
          <t>Completed</t>
        </is>
      </c>
      <c r="D99" s="12" t="inlineStr">
        <is>
          <t>Transport</t>
        </is>
      </c>
      <c r="E99" s="12" t="inlineStr">
        <is>
          <t>Drivers</t>
        </is>
      </c>
      <c r="F99" s="12" t="inlineStr">
        <is>
          <t>Driver Management</t>
        </is>
      </c>
      <c r="G99" s="12" t="inlineStr">
        <is>
          <t>Enable transport users to manage drivers through the Driver Management workflow with real-time status, validations and traceability.</t>
        </is>
      </c>
      <c r="H99"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99" s="12" t="inlineStr">
        <is>
          <t>List, view, create, edit, activate/deactivate, delete where safe, audit</t>
        </is>
      </c>
      <c r="J99" s="12" t="inlineStr">
        <is>
          <t>Transport Manager / Dispatcher / Driver</t>
        </is>
      </c>
      <c r="K99" s="12" t="inlineStr">
        <is>
          <t>Could Have</t>
        </is>
      </c>
      <c r="L99" s="12" t="inlineStr">
        <is>
          <t>9. Activities, Spa, Events &amp; Transport</t>
        </is>
      </c>
      <c r="M99" s="12" t="inlineStr">
        <is>
          <t>S17-S19</t>
        </is>
      </c>
      <c r="N99" s="12" t="inlineStr">
        <is>
          <t>Not Started</t>
        </is>
      </c>
      <c r="O99" s="13">
        <f>IF(N99="Done",1,IF(N99="QA",0.9,IF(N99="Integration",0.75,IF(N99="Frontend",0.55,IF(N99="Backend",0.35,IF(N99="UX/UI",0.1,0))))))</f>
        <v/>
      </c>
      <c r="P99" s="12" t="inlineStr">
        <is>
          <t>Guests, Workforce, Finance</t>
        </is>
      </c>
      <c r="Q99" s="12" t="inlineStr">
        <is>
          <t>Responsive desktop/tablet UI; loading, empty, error and permission states; filters; form validation; accessible interactions</t>
        </is>
      </c>
      <c r="R99" s="12" t="inlineStr">
        <is>
          <t>GET, POST, PUT/PATCH, DELETE /api/v1/driver-management; lookup, validation and audit endpoints; idempotency for financial/booking writes</t>
        </is>
      </c>
      <c r="S99" s="12" t="inlineStr">
        <is>
          <t>vehicles, drivers, transport_bookings, trips</t>
        </is>
      </c>
      <c r="T99" s="12" t="inlineStr">
        <is>
          <t>Tenant/property scope; required fields; optimistic locking; timezone-safe dates; reason mandatory for overrides; availability and overlap check; status-transition rules; cancellation policy</t>
        </is>
      </c>
      <c r="U99" s="12" t="inlineStr">
        <is>
          <t>Authorized users can complete the primary driver management workflow; invalid or conflicting actions are blocked with clear messages; saved changes appear in related screens; sensitive changes are auditable.</t>
        </is>
      </c>
      <c r="V99" s="12" t="inlineStr">
        <is>
          <t>RBAC, tenant and property isolation, server-side authorization, audit event for create/update/delete/override</t>
        </is>
      </c>
      <c r="W99" s="12" t="n"/>
      <c r="X99" s="14" t="n"/>
      <c r="Y99" s="14" t="n"/>
      <c r="Z99" s="12" t="n"/>
    </row>
    <row r="100" ht="70" customHeight="1" s="43">
      <c r="A100" s="10" t="n">
        <v>108</v>
      </c>
      <c r="B100" s="11" t="inlineStr">
        <is>
          <t>SCR-096</t>
        </is>
      </c>
      <c r="C100" s="12" t="inlineStr">
        <is>
          <t>Completed</t>
        </is>
      </c>
      <c r="D100" s="12" t="inlineStr">
        <is>
          <t>Transport</t>
        </is>
      </c>
      <c r="E100" s="12" t="inlineStr">
        <is>
          <t>Trip Execution</t>
        </is>
      </c>
      <c r="F100" s="12" t="inlineStr">
        <is>
          <t>Trip Details and Completion</t>
        </is>
      </c>
      <c r="G100" s="12" t="inlineStr">
        <is>
          <t>Enable transport users to manage trip execution through the Trip Details and Completion workflow with real-time status, validations and traceability.</t>
        </is>
      </c>
      <c r="H10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00" s="12" t="inlineStr">
        <is>
          <t>List, search, filter, view, create, edit, cancel/delete where allowed, export, audit</t>
        </is>
      </c>
      <c r="J100" s="12" t="inlineStr">
        <is>
          <t>Transport Manager / Dispatcher / Driver</t>
        </is>
      </c>
      <c r="K100" s="12" t="inlineStr">
        <is>
          <t>Could Have</t>
        </is>
      </c>
      <c r="L100" s="12" t="inlineStr">
        <is>
          <t>9. Activities, Spa, Events &amp; Transport</t>
        </is>
      </c>
      <c r="M100" s="12" t="inlineStr">
        <is>
          <t>S17-S19</t>
        </is>
      </c>
      <c r="N100" s="12" t="inlineStr">
        <is>
          <t>Not Started</t>
        </is>
      </c>
      <c r="O100" s="13">
        <f>IF(N100="Done",1,IF(N100="QA",0.9,IF(N100="Integration",0.75,IF(N100="Frontend",0.55,IF(N100="Backend",0.35,IF(N100="UX/UI",0.1,0))))))</f>
        <v/>
      </c>
      <c r="P100" s="12" t="inlineStr">
        <is>
          <t>Guests, Workforce, Finance</t>
        </is>
      </c>
      <c r="Q100" s="12" t="inlineStr">
        <is>
          <t>Responsive desktop/tablet UI; loading, empty, error and permission states; filters; form validation; accessible interactions</t>
        </is>
      </c>
      <c r="R100" s="12" t="inlineStr">
        <is>
          <t>GET, POST, PUT/PATCH, DELETE /api/v1/trip-details-and-completion; lookup, validation and audit endpoints; idempotency for financial/booking writes</t>
        </is>
      </c>
      <c r="S100" s="12" t="inlineStr">
        <is>
          <t>vehicles, drivers, transport_bookings, trips</t>
        </is>
      </c>
      <c r="T100" s="12" t="inlineStr">
        <is>
          <t>Tenant/property scope; required fields; optimistic locking; timezone-safe dates; reason mandatory for overrides; availability and overlap check; status-transition rules; cancellation policy</t>
        </is>
      </c>
      <c r="U100" s="12" t="inlineStr">
        <is>
          <t>Authorized users can complete the primary trip details and completion workflow; invalid or conflicting actions are blocked with clear messages; saved changes appear in related screens; sensitive changes are auditable.</t>
        </is>
      </c>
      <c r="V100" s="12" t="inlineStr">
        <is>
          <t>RBAC, tenant and property isolation, server-side authorization, audit event for create/update/delete/override</t>
        </is>
      </c>
      <c r="W100" s="12" t="n"/>
      <c r="X100" s="14" t="n"/>
      <c r="Y100" s="14" t="n"/>
      <c r="Z100" s="12" t="n"/>
    </row>
    <row r="101" ht="70" customHeight="1" s="43">
      <c r="A101" s="10" t="n">
        <v>87</v>
      </c>
      <c r="B101" s="11" t="inlineStr">
        <is>
          <t>SCR-097</t>
        </is>
      </c>
      <c r="C101" s="12" t="inlineStr">
        <is>
          <t>Completed</t>
        </is>
      </c>
      <c r="D101" s="12" t="inlineStr">
        <is>
          <t>Maintenance</t>
        </is>
      </c>
      <c r="E101" s="12" t="inlineStr">
        <is>
          <t>Work Orders</t>
        </is>
      </c>
      <c r="F101" s="12" t="inlineStr">
        <is>
          <t>Create Maintenance Work Order</t>
        </is>
      </c>
      <c r="G101" s="12" t="inlineStr">
        <is>
          <t>Enable maintenance users to manage work orders through the Create Maintenance Work Order workflow with real-time status, validations and traceability.</t>
        </is>
      </c>
      <c r="H101"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01" s="12" t="inlineStr">
        <is>
          <t>List, view, create, edit, activate/deactivate, delete where safe, audit</t>
        </is>
      </c>
      <c r="J101" s="12" t="inlineStr">
        <is>
          <t>Engineering Manager / Technician</t>
        </is>
      </c>
      <c r="K101" s="12" t="inlineStr">
        <is>
          <t>Should Have</t>
        </is>
      </c>
      <c r="L101" s="12" t="inlineStr">
        <is>
          <t>8. Maintenance &amp; Asset Operations</t>
        </is>
      </c>
      <c r="M101" s="12" t="inlineStr">
        <is>
          <t>S16</t>
        </is>
      </c>
      <c r="N101" s="12" t="inlineStr">
        <is>
          <t>Not Started</t>
        </is>
      </c>
      <c r="O101" s="13">
        <f>IF(N101="Done",1,IF(N101="QA",0.9,IF(N101="Integration",0.75,IF(N101="Frontend",0.55,IF(N101="Backend",0.35,IF(N101="UX/UI",0.1,0))))))</f>
        <v/>
      </c>
      <c r="P101" s="12" t="inlineStr">
        <is>
          <t>Rooms, Inventory, Workforce</t>
        </is>
      </c>
      <c r="Q101" s="12" t="inlineStr">
        <is>
          <t>Responsive desktop/tablet UI; loading, empty, error and permission states; filters; form validation; accessible interactions</t>
        </is>
      </c>
      <c r="R101" s="12" t="inlineStr">
        <is>
          <t>GET, POST, PUT/PATCH, DELETE /api/v1/create-maintenance-work-order; lookup, validation and audit endpoints; idempotency for financial/booking writes</t>
        </is>
      </c>
      <c r="S101" s="12" t="inlineStr">
        <is>
          <t>assets, maintenance_work_orders, preventive_plans</t>
        </is>
      </c>
      <c r="T101" s="12" t="inlineStr">
        <is>
          <t>Tenant/property scope; required fields; optimistic locking; timezone-safe dates; reason mandatory for overrides; valid status transition; linked-record integrity</t>
        </is>
      </c>
      <c r="U101" s="12" t="inlineStr">
        <is>
          <t>Authorized users can complete the primary create maintenance work order workflow; invalid or conflicting actions are blocked with clear messages; saved changes appear in related screens; sensitive changes are auditable.</t>
        </is>
      </c>
      <c r="V101" s="12" t="inlineStr">
        <is>
          <t>RBAC, tenant and property isolation, server-side authorization, audit event for create/update/delete/override</t>
        </is>
      </c>
      <c r="W101" s="12" t="n"/>
      <c r="X101" s="14" t="n"/>
      <c r="Y101" s="14" t="n"/>
      <c r="Z101" s="12" t="n"/>
    </row>
    <row r="102" ht="70" customHeight="1" s="43">
      <c r="A102" s="10" t="n">
        <v>88</v>
      </c>
      <c r="B102" s="11" t="inlineStr">
        <is>
          <t>SCR-098</t>
        </is>
      </c>
      <c r="C102" s="12" t="inlineStr">
        <is>
          <t>Completed</t>
        </is>
      </c>
      <c r="D102" s="12" t="inlineStr">
        <is>
          <t>Maintenance</t>
        </is>
      </c>
      <c r="E102" s="12" t="inlineStr">
        <is>
          <t>Work Orders</t>
        </is>
      </c>
      <c r="F102" s="12" t="inlineStr">
        <is>
          <t>Maintenance Work Order Details and Edit</t>
        </is>
      </c>
      <c r="G102" s="12" t="inlineStr">
        <is>
          <t>Enable maintenance users to manage work orders through the Maintenance Work Order Details and Edit workflow with real-time status, validations and traceability.</t>
        </is>
      </c>
      <c r="H10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02" s="12" t="inlineStr">
        <is>
          <t>List, search, filter, view, create, edit, cancel/delete where allowed, export, audit</t>
        </is>
      </c>
      <c r="J102" s="12" t="inlineStr">
        <is>
          <t>Engineering Manager / Technician</t>
        </is>
      </c>
      <c r="K102" s="12" t="inlineStr">
        <is>
          <t>Should Have</t>
        </is>
      </c>
      <c r="L102" s="12" t="inlineStr">
        <is>
          <t>8. Maintenance &amp; Asset Operations</t>
        </is>
      </c>
      <c r="M102" s="12" t="inlineStr">
        <is>
          <t>S16</t>
        </is>
      </c>
      <c r="N102" s="12" t="inlineStr">
        <is>
          <t>Not Started</t>
        </is>
      </c>
      <c r="O102" s="13">
        <f>IF(N102="Done",1,IF(N102="QA",0.9,IF(N102="Integration",0.75,IF(N102="Frontend",0.55,IF(N102="Backend",0.35,IF(N102="UX/UI",0.1,0))))))</f>
        <v/>
      </c>
      <c r="P102" s="12" t="inlineStr">
        <is>
          <t>Rooms, Inventory, Workforce</t>
        </is>
      </c>
      <c r="Q102" s="12" t="inlineStr">
        <is>
          <t>Responsive desktop/tablet UI; loading, empty, error and permission states; filters; form validation; accessible interactions</t>
        </is>
      </c>
      <c r="R102" s="12" t="inlineStr">
        <is>
          <t>GET, POST, PUT/PATCH, DELETE /api/v1/maintenance-work-order-details-and-edit; lookup, validation and audit endpoints; idempotency for financial/booking writes</t>
        </is>
      </c>
      <c r="S102" s="12" t="inlineStr">
        <is>
          <t>assets, maintenance_work_orders, preventive_plans</t>
        </is>
      </c>
      <c r="T102" s="12" t="inlineStr">
        <is>
          <t>Tenant/property scope; required fields; optimistic locking; timezone-safe dates; reason mandatory for overrides; valid status transition; linked-record integrity</t>
        </is>
      </c>
      <c r="U102" s="12" t="inlineStr">
        <is>
          <t>Authorized users can complete the primary maintenance work order details and edit workflow; invalid or conflicting actions are blocked with clear messages; saved changes appear in related screens; sensitive changes are auditable.</t>
        </is>
      </c>
      <c r="V102" s="12" t="inlineStr">
        <is>
          <t>RBAC, tenant and property isolation, server-side authorization, audit event for create/update/delete/override</t>
        </is>
      </c>
      <c r="W102" s="12" t="n"/>
      <c r="X102" s="14" t="n"/>
      <c r="Y102" s="14" t="n"/>
      <c r="Z102" s="12" t="n"/>
    </row>
    <row r="103" ht="70" customHeight="1" s="43">
      <c r="A103" s="10" t="n">
        <v>89</v>
      </c>
      <c r="B103" s="11" t="inlineStr">
        <is>
          <t>SCR-099</t>
        </is>
      </c>
      <c r="C103" s="12" t="inlineStr">
        <is>
          <t>Completed</t>
        </is>
      </c>
      <c r="D103" s="12" t="inlineStr">
        <is>
          <t>Maintenance</t>
        </is>
      </c>
      <c r="E103" s="12" t="inlineStr">
        <is>
          <t>Assets</t>
        </is>
      </c>
      <c r="F103" s="12" t="inlineStr">
        <is>
          <t>Asset Register and Edit</t>
        </is>
      </c>
      <c r="G103" s="12" t="inlineStr">
        <is>
          <t>Enable maintenance users to manage assets through the Asset Register and Edit workflow with real-time status, validations and traceability.</t>
        </is>
      </c>
      <c r="H10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03" s="12" t="inlineStr">
        <is>
          <t>List, search, filter, view, create, edit, cancel/delete where allowed, export, audit</t>
        </is>
      </c>
      <c r="J103" s="12" t="inlineStr">
        <is>
          <t>Engineering Manager / Technician</t>
        </is>
      </c>
      <c r="K103" s="12" t="inlineStr">
        <is>
          <t>Should Have</t>
        </is>
      </c>
      <c r="L103" s="12" t="inlineStr">
        <is>
          <t>8. Maintenance &amp; Asset Operations</t>
        </is>
      </c>
      <c r="M103" s="12" t="inlineStr">
        <is>
          <t>S16</t>
        </is>
      </c>
      <c r="N103" s="12" t="inlineStr">
        <is>
          <t>Not Started</t>
        </is>
      </c>
      <c r="O103" s="13">
        <f>IF(N103="Done",1,IF(N103="QA",0.9,IF(N103="Integration",0.75,IF(N103="Frontend",0.55,IF(N103="Backend",0.35,IF(N103="UX/UI",0.1,0))))))</f>
        <v/>
      </c>
      <c r="P103" s="12" t="inlineStr">
        <is>
          <t>Rooms, Inventory, Workforce</t>
        </is>
      </c>
      <c r="Q103" s="12" t="inlineStr">
        <is>
          <t>Responsive desktop/tablet UI; loading, empty, error and permission states; filters; form validation; accessible interactions</t>
        </is>
      </c>
      <c r="R103" s="12" t="inlineStr">
        <is>
          <t>GET, POST, PUT/PATCH, DELETE /api/v1/asset-register-and-edit; lookup, validation and audit endpoints; idempotency for financial/booking writes</t>
        </is>
      </c>
      <c r="S103" s="12" t="inlineStr">
        <is>
          <t>assets, maintenance_work_orders, preventive_plans</t>
        </is>
      </c>
      <c r="T103" s="12" t="inlineStr">
        <is>
          <t>Tenant/property scope; required fields; optimistic locking; timezone-safe dates; reason mandatory for overrides; valid status transition; linked-record integrity</t>
        </is>
      </c>
      <c r="U103" s="12" t="inlineStr">
        <is>
          <t>Authorized users can complete the primary asset register and edit workflow; invalid or conflicting actions are blocked with clear messages; saved changes appear in related screens; sensitive changes are auditable.</t>
        </is>
      </c>
      <c r="V103" s="12" t="inlineStr">
        <is>
          <t>RBAC, tenant and property isolation, server-side authorization, audit event for create/update/delete/override</t>
        </is>
      </c>
      <c r="W103" s="12" t="n"/>
      <c r="X103" s="14" t="n"/>
      <c r="Y103" s="14" t="n"/>
      <c r="Z103" s="12" t="n"/>
    </row>
    <row r="104" ht="70" customHeight="1" s="43">
      <c r="A104" s="10" t="n">
        <v>90</v>
      </c>
      <c r="B104" s="11" t="inlineStr">
        <is>
          <t>SCR-100</t>
        </is>
      </c>
      <c r="C104" s="12" t="inlineStr">
        <is>
          <t>Completed</t>
        </is>
      </c>
      <c r="D104" s="12" t="inlineStr">
        <is>
          <t>Maintenance</t>
        </is>
      </c>
      <c r="E104" s="12" t="inlineStr">
        <is>
          <t>Preventive Maintenance</t>
        </is>
      </c>
      <c r="F104" s="12" t="inlineStr">
        <is>
          <t>Preventive Maintenance Planner</t>
        </is>
      </c>
      <c r="G104" s="12" t="inlineStr">
        <is>
          <t>Enable maintenance users to manage preventive maintenance through the Preventive Maintenance Planner workflow with real-time status, validations and traceability.</t>
        </is>
      </c>
      <c r="H104" s="12" t="inlineStr">
        <is>
          <t>Provide role-aware view timeline, filter, create, assign, reschedule, conflict-check, cancel; support search and filters; validate mandatory fields and business conflicts; persist changes atomically; refresh related availability, balances or task status; record user, timestamp and reason for sensitive changes.</t>
        </is>
      </c>
      <c r="I104" s="12" t="inlineStr">
        <is>
          <t>View timeline, filter, create, assign, reschedule, conflict-check, cancel</t>
        </is>
      </c>
      <c r="J104" s="12" t="inlineStr">
        <is>
          <t>Engineering Manager / Technician</t>
        </is>
      </c>
      <c r="K104" s="12" t="inlineStr">
        <is>
          <t>Should Have</t>
        </is>
      </c>
      <c r="L104" s="12" t="inlineStr">
        <is>
          <t>8. Maintenance &amp; Asset Operations</t>
        </is>
      </c>
      <c r="M104" s="12" t="inlineStr">
        <is>
          <t>S16</t>
        </is>
      </c>
      <c r="N104" s="12" t="inlineStr">
        <is>
          <t>Not Started</t>
        </is>
      </c>
      <c r="O104" s="13">
        <f>IF(N104="Done",1,IF(N104="QA",0.9,IF(N104="Integration",0.75,IF(N104="Frontend",0.55,IF(N104="Backend",0.35,IF(N104="UX/UI",0.1,0))))))</f>
        <v/>
      </c>
      <c r="P104" s="12" t="inlineStr">
        <is>
          <t>Rooms, Inventory, Workforce</t>
        </is>
      </c>
      <c r="Q104" s="12" t="inlineStr">
        <is>
          <t>Responsive desktop/tablet UI; loading, empty, error and permission states; filters; form validation; accessible interactions</t>
        </is>
      </c>
      <c r="R104" s="12" t="inlineStr">
        <is>
          <t>GET, POST, PUT/PATCH, DELETE /api/v1/preventive-maintenance-planner; lookup, validation and audit endpoints; idempotency for financial/booking writes</t>
        </is>
      </c>
      <c r="S104" s="12" t="inlineStr">
        <is>
          <t>assets, maintenance_work_orders, preventive_plans</t>
        </is>
      </c>
      <c r="T104" s="12" t="inlineStr">
        <is>
          <t>Tenant/property scope; required fields; optimistic locking; timezone-safe dates; reason mandatory for overrides; valid status transition; linked-record integrity</t>
        </is>
      </c>
      <c r="U104" s="12" t="inlineStr">
        <is>
          <t>Authorized users can complete the primary preventive maintenance planner workflow; invalid or conflicting actions are blocked with clear messages; saved changes appear in related screens; sensitive changes are auditable.</t>
        </is>
      </c>
      <c r="V104" s="12" t="inlineStr">
        <is>
          <t>RBAC, tenant and property isolation, server-side authorization, audit event for create/update/delete/override</t>
        </is>
      </c>
      <c r="W104" s="12" t="n"/>
      <c r="X104" s="14" t="n"/>
      <c r="Y104" s="14" t="n"/>
      <c r="Z104" s="12" t="n"/>
    </row>
    <row r="105" ht="70" customHeight="1" s="43">
      <c r="A105" s="10" t="n">
        <v>91</v>
      </c>
      <c r="B105" s="11" t="inlineStr">
        <is>
          <t>SCR-101</t>
        </is>
      </c>
      <c r="C105" s="12" t="inlineStr">
        <is>
          <t>Completed</t>
        </is>
      </c>
      <c r="D105" s="12" t="inlineStr">
        <is>
          <t>Maintenance</t>
        </is>
      </c>
      <c r="E105" s="12" t="inlineStr">
        <is>
          <t>Work Order Control</t>
        </is>
      </c>
      <c r="F105" s="12" t="inlineStr">
        <is>
          <t>Close or Reopen Maintenance Work Order</t>
        </is>
      </c>
      <c r="G105" s="12" t="inlineStr">
        <is>
          <t>Enable maintenance users to manage work order control through the Close or Reopen Maintenance Work Order workflow with real-time status, validations and traceability.</t>
        </is>
      </c>
      <c r="H105" s="12" t="inlineStr">
        <is>
          <t>Provide role-aware view, validate, close, reopen with reason, audit; support search and filters; validate mandatory fields and business conflicts; persist changes atomically; refresh related availability, balances or task status; record user, timestamp and reason for sensitive changes.</t>
        </is>
      </c>
      <c r="I105" s="12" t="inlineStr">
        <is>
          <t>View, validate, close, reopen with reason, audit</t>
        </is>
      </c>
      <c r="J105" s="12" t="inlineStr">
        <is>
          <t>Engineering Manager / Technician</t>
        </is>
      </c>
      <c r="K105" s="12" t="inlineStr">
        <is>
          <t>Should Have</t>
        </is>
      </c>
      <c r="L105" s="12" t="inlineStr">
        <is>
          <t>8. Maintenance &amp; Asset Operations</t>
        </is>
      </c>
      <c r="M105" s="12" t="inlineStr">
        <is>
          <t>S16</t>
        </is>
      </c>
      <c r="N105" s="12" t="inlineStr">
        <is>
          <t>Not Started</t>
        </is>
      </c>
      <c r="O105" s="13">
        <f>IF(N105="Done",1,IF(N105="QA",0.9,IF(N105="Integration",0.75,IF(N105="Frontend",0.55,IF(N105="Backend",0.35,IF(N105="UX/UI",0.1,0))))))</f>
        <v/>
      </c>
      <c r="P105" s="12" t="inlineStr">
        <is>
          <t>Rooms, Inventory, Workforce</t>
        </is>
      </c>
      <c r="Q105" s="12" t="inlineStr">
        <is>
          <t>Responsive desktop/tablet UI; loading, empty, error and permission states; filters; form validation; accessible interactions</t>
        </is>
      </c>
      <c r="R105" s="12" t="inlineStr">
        <is>
          <t>GET, POST/PATCH /api/v1/close-or-reopen-maintenance-work-order; lookup, validation and audit endpoints; idempotency for financial/booking writes</t>
        </is>
      </c>
      <c r="S105" s="12" t="inlineStr">
        <is>
          <t>assets, maintenance_work_orders, preventive_plans</t>
        </is>
      </c>
      <c r="T105" s="12" t="inlineStr">
        <is>
          <t>Tenant/property scope; required fields; optimistic locking; timezone-safe dates; reason mandatory for overrides; valid status transition; linked-record integrity</t>
        </is>
      </c>
      <c r="U105" s="12" t="inlineStr">
        <is>
          <t>Authorized users can complete the primary close or reopen maintenance work order workflow; invalid or conflicting actions are blocked with clear messages; saved changes appear in related screens; sensitive changes are auditable.</t>
        </is>
      </c>
      <c r="V105" s="12" t="inlineStr">
        <is>
          <t>RBAC, tenant and property isolation, server-side authorization, audit event for create/update/delete/override</t>
        </is>
      </c>
      <c r="W105" s="12" t="n"/>
      <c r="X105" s="14" t="n"/>
      <c r="Y105" s="14" t="n"/>
      <c r="Z105" s="12" t="n"/>
    </row>
    <row r="106" ht="70" customHeight="1" s="43">
      <c r="A106" s="10" t="n">
        <v>78</v>
      </c>
      <c r="B106" s="11" t="inlineStr">
        <is>
          <t>SCR-102</t>
        </is>
      </c>
      <c r="C106" s="12" t="inlineStr">
        <is>
          <t>Completed</t>
        </is>
      </c>
      <c r="D106" s="12" t="inlineStr">
        <is>
          <t>Inventory</t>
        </is>
      </c>
      <c r="E106" s="12" t="inlineStr">
        <is>
          <t>Item Master</t>
        </is>
      </c>
      <c r="F106" s="12" t="inlineStr">
        <is>
          <t>Create or Edit Inventory Item</t>
        </is>
      </c>
      <c r="G106" s="12" t="inlineStr">
        <is>
          <t>Enable inventory users to manage item master through the Create or Edit Inventory Item workflow with real-time status, validations and traceability.</t>
        </is>
      </c>
      <c r="H106"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06" s="12" t="inlineStr">
        <is>
          <t>List, view, create, edit, activate/deactivate, delete where safe, audit</t>
        </is>
      </c>
      <c r="J106" s="12" t="inlineStr">
        <is>
          <t>Store Manager / Storekeeper / Department Heads</t>
        </is>
      </c>
      <c r="K106" s="12" t="inlineStr">
        <is>
          <t>Should Have</t>
        </is>
      </c>
      <c r="L106" s="12" t="inlineStr">
        <is>
          <t>7. Inventory &amp; Procurement</t>
        </is>
      </c>
      <c r="M106" s="12" t="inlineStr">
        <is>
          <t>S14-S15</t>
        </is>
      </c>
      <c r="N106" s="12" t="inlineStr">
        <is>
          <t>Not Started</t>
        </is>
      </c>
      <c r="O106" s="13">
        <f>IF(N106="Done",1,IF(N106="QA",0.9,IF(N106="Integration",0.75,IF(N106="Frontend",0.55,IF(N106="Backend",0.35,IF(N106="UX/UI",0.1,0))))))</f>
        <v/>
      </c>
      <c r="P106" s="12" t="inlineStr">
        <is>
          <t>Purchasing, POS, Maintenance</t>
        </is>
      </c>
      <c r="Q106" s="12" t="inlineStr">
        <is>
          <t>Responsive desktop/tablet UI; loading, empty, error and permission states; filters; form validation; accessible interactions</t>
        </is>
      </c>
      <c r="R106" s="12" t="inlineStr">
        <is>
          <t>GET, POST, PUT/PATCH, DELETE /api/v1/create-or-edit-inventory-item; lookup, validation and audit endpoints; idempotency for financial/booking writes</t>
        </is>
      </c>
      <c r="S106" s="12" t="inlineStr">
        <is>
          <t>inventory_items, warehouses, stock_ledger, stock_adjustments</t>
        </is>
      </c>
      <c r="T106" s="12" t="inlineStr">
        <is>
          <t>Tenant/property scope; required fields; optimistic locking; timezone-safe dates; reason mandatory for overrides; valid status transition; linked-record integrity</t>
        </is>
      </c>
      <c r="U106" s="12" t="inlineStr">
        <is>
          <t>Authorized users can complete the primary create or edit inventory item workflow; invalid or conflicting actions are blocked with clear messages; saved changes appear in related screens; sensitive changes are auditable.</t>
        </is>
      </c>
      <c r="V106" s="12" t="inlineStr">
        <is>
          <t>RBAC, tenant and property isolation, server-side authorization, audit event for create/update/delete/override</t>
        </is>
      </c>
      <c r="W106" s="12" t="n"/>
      <c r="X106" s="14" t="n"/>
      <c r="Y106" s="14" t="n"/>
      <c r="Z106" s="12" t="n"/>
    </row>
    <row r="107" ht="70" customHeight="1" s="43">
      <c r="A107" s="10" t="n">
        <v>79</v>
      </c>
      <c r="B107" s="11" t="inlineStr">
        <is>
          <t>SCR-103</t>
        </is>
      </c>
      <c r="C107" s="12" t="inlineStr">
        <is>
          <t>Completed</t>
        </is>
      </c>
      <c r="D107" s="12" t="inlineStr">
        <is>
          <t>Inventory</t>
        </is>
      </c>
      <c r="E107" s="12" t="inlineStr">
        <is>
          <t>Configuration</t>
        </is>
      </c>
      <c r="F107" s="12" t="inlineStr">
        <is>
          <t>Inventory Masters</t>
        </is>
      </c>
      <c r="G107" s="12" t="inlineStr">
        <is>
          <t>Enable inventory users to manage configuration through the Inventory Masters workflow with real-time status, validations and traceability.</t>
        </is>
      </c>
      <c r="H107"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07" s="12" t="inlineStr">
        <is>
          <t>List, view, create, edit, activate/deactivate, delete where safe, audit</t>
        </is>
      </c>
      <c r="J107" s="12" t="inlineStr">
        <is>
          <t>Store Manager / Storekeeper / Department Heads</t>
        </is>
      </c>
      <c r="K107" s="12" t="inlineStr">
        <is>
          <t>Should Have</t>
        </is>
      </c>
      <c r="L107" s="12" t="inlineStr">
        <is>
          <t>7. Inventory &amp; Procurement</t>
        </is>
      </c>
      <c r="M107" s="12" t="inlineStr">
        <is>
          <t>S14-S15</t>
        </is>
      </c>
      <c r="N107" s="12" t="inlineStr">
        <is>
          <t>Not Started</t>
        </is>
      </c>
      <c r="O107" s="13">
        <f>IF(N107="Done",1,IF(N107="QA",0.9,IF(N107="Integration",0.75,IF(N107="Frontend",0.55,IF(N107="Backend",0.35,IF(N107="UX/UI",0.1,0))))))</f>
        <v/>
      </c>
      <c r="P107" s="12" t="inlineStr">
        <is>
          <t>Purchasing, POS, Maintenance</t>
        </is>
      </c>
      <c r="Q107" s="12" t="inlineStr">
        <is>
          <t>Responsive desktop/tablet UI; loading, empty, error and permission states; filters; form validation; accessible interactions</t>
        </is>
      </c>
      <c r="R107" s="12" t="inlineStr">
        <is>
          <t>GET, POST, PUT/PATCH, DELETE /api/v1/inventory-masters; lookup, validation and audit endpoints; idempotency for financial/booking writes</t>
        </is>
      </c>
      <c r="S107" s="12" t="inlineStr">
        <is>
          <t>inventory_items, warehouses, stock_ledger, stock_adjustments</t>
        </is>
      </c>
      <c r="T107" s="12" t="inlineStr">
        <is>
          <t>Tenant/property scope; required fields; optimistic locking; timezone-safe dates; reason mandatory for overrides; valid status transition; linked-record integrity</t>
        </is>
      </c>
      <c r="U107" s="12" t="inlineStr">
        <is>
          <t>Authorized users can complete the primary inventory masters workflow; invalid or conflicting actions are blocked with clear messages; saved changes appear in related screens; sensitive changes are auditable.</t>
        </is>
      </c>
      <c r="V107" s="12" t="inlineStr">
        <is>
          <t>RBAC, tenant and property isolation, server-side authorization, audit event for create/update/delete/override</t>
        </is>
      </c>
      <c r="W107" s="12" t="n"/>
      <c r="X107" s="14" t="n"/>
      <c r="Y107" s="14" t="n"/>
      <c r="Z107" s="12" t="n"/>
    </row>
    <row r="108" ht="70" customHeight="1" s="43">
      <c r="A108" s="10" t="n">
        <v>80</v>
      </c>
      <c r="B108" s="11" t="inlineStr">
        <is>
          <t>SCR-104</t>
        </is>
      </c>
      <c r="C108" s="12" t="inlineStr">
        <is>
          <t>Completed</t>
        </is>
      </c>
      <c r="D108" s="12" t="inlineStr">
        <is>
          <t>Inventory</t>
        </is>
      </c>
      <c r="E108" s="12" t="inlineStr">
        <is>
          <t>Stock Control</t>
        </is>
      </c>
      <c r="F108" s="12" t="inlineStr">
        <is>
          <t>Stock Adjustment and Write-Off</t>
        </is>
      </c>
      <c r="G108" s="12" t="inlineStr">
        <is>
          <t>Enable inventory users to manage stock control through the Stock Adjustment and Write-Off workflow with real-time status, validations and traceability.</t>
        </is>
      </c>
      <c r="H10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08" s="12" t="inlineStr">
        <is>
          <t>List, search, filter, view, create, edit, cancel/delete where allowed, export, audit</t>
        </is>
      </c>
      <c r="J108" s="12" t="inlineStr">
        <is>
          <t>Store Manager / Storekeeper / Department Heads</t>
        </is>
      </c>
      <c r="K108" s="12" t="inlineStr">
        <is>
          <t>Should Have</t>
        </is>
      </c>
      <c r="L108" s="12" t="inlineStr">
        <is>
          <t>7. Inventory &amp; Procurement</t>
        </is>
      </c>
      <c r="M108" s="12" t="inlineStr">
        <is>
          <t>S14-S15</t>
        </is>
      </c>
      <c r="N108" s="12" t="inlineStr">
        <is>
          <t>Not Started</t>
        </is>
      </c>
      <c r="O108" s="13">
        <f>IF(N108="Done",1,IF(N108="QA",0.9,IF(N108="Integration",0.75,IF(N108="Frontend",0.55,IF(N108="Backend",0.35,IF(N108="UX/UI",0.1,0))))))</f>
        <v/>
      </c>
      <c r="P108" s="12" t="inlineStr">
        <is>
          <t>Purchasing, POS, Maintenance</t>
        </is>
      </c>
      <c r="Q108" s="12" t="inlineStr">
        <is>
          <t>Responsive desktop/tablet UI; loading, empty, error and permission states; filters; form validation; accessible interactions</t>
        </is>
      </c>
      <c r="R108" s="12" t="inlineStr">
        <is>
          <t>GET, POST, PUT/PATCH, DELETE /api/v1/stock-adjustment-and-write-off; lookup, validation and audit endpoints; idempotency for financial/booking writes</t>
        </is>
      </c>
      <c r="S108" s="12" t="inlineStr">
        <is>
          <t>inventory_items, warehouses, stock_ledger, stock_adjustments</t>
        </is>
      </c>
      <c r="T108" s="12" t="inlineStr">
        <is>
          <t>Tenant/property scope; required fields; optimistic locking; timezone-safe dates; reason mandatory for overrides; valid status transition; linked-record integrity</t>
        </is>
      </c>
      <c r="U108" s="12" t="inlineStr">
        <is>
          <t>Authorized users can complete the primary stock adjustment and write-off workflow; invalid or conflicting actions are blocked with clear messages; saved changes appear in related screens; sensitive changes are auditable.</t>
        </is>
      </c>
      <c r="V108" s="12" t="inlineStr">
        <is>
          <t>RBAC, tenant and property isolation, server-side authorization, audit event for create/update/delete/override</t>
        </is>
      </c>
      <c r="W108" s="12" t="n"/>
      <c r="X108" s="14" t="n"/>
      <c r="Y108" s="14" t="n"/>
      <c r="Z108" s="12" t="n"/>
    </row>
    <row r="109" ht="70" customHeight="1" s="43">
      <c r="A109" s="10" t="n">
        <v>81</v>
      </c>
      <c r="B109" s="11" t="inlineStr">
        <is>
          <t>SCR-105</t>
        </is>
      </c>
      <c r="C109" s="12" t="inlineStr">
        <is>
          <t>Completed</t>
        </is>
      </c>
      <c r="D109" s="12" t="inlineStr">
        <is>
          <t>Purchasing</t>
        </is>
      </c>
      <c r="E109" s="12" t="inlineStr">
        <is>
          <t>Suppliers</t>
        </is>
      </c>
      <c r="F109" s="12" t="inlineStr">
        <is>
          <t>Supplier Management</t>
        </is>
      </c>
      <c r="G109" s="12" t="inlineStr">
        <is>
          <t>Enable purchasing users to manage suppliers through the Supplier Management workflow with real-time status, validations and traceability.</t>
        </is>
      </c>
      <c r="H109"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09" s="12" t="inlineStr">
        <is>
          <t>List, view, create, edit, activate/deactivate, delete where safe, audit</t>
        </is>
      </c>
      <c r="J109" s="12" t="inlineStr">
        <is>
          <t>Purchase Manager / Approver / Storekeeper</t>
        </is>
      </c>
      <c r="K109" s="12" t="inlineStr">
        <is>
          <t>Should Have</t>
        </is>
      </c>
      <c r="L109" s="12" t="inlineStr">
        <is>
          <t>7. Inventory &amp; Procurement</t>
        </is>
      </c>
      <c r="M109" s="12" t="inlineStr">
        <is>
          <t>S14-S15</t>
        </is>
      </c>
      <c r="N109" s="12" t="inlineStr">
        <is>
          <t>Not Started</t>
        </is>
      </c>
      <c r="O109" s="13">
        <f>IF(N109="Done",1,IF(N109="QA",0.9,IF(N109="Integration",0.75,IF(N109="Frontend",0.55,IF(N109="Backend",0.35,IF(N109="UX/UI",0.1,0))))))</f>
        <v/>
      </c>
      <c r="P109" s="12" t="inlineStr">
        <is>
          <t>Inventory, Finance, Approvals</t>
        </is>
      </c>
      <c r="Q109" s="12" t="inlineStr">
        <is>
          <t>Responsive desktop/tablet UI; loading, empty, error and permission states; filters; form validation; accessible interactions</t>
        </is>
      </c>
      <c r="R109" s="12" t="inlineStr">
        <is>
          <t>GET, POST, PUT/PATCH, DELETE /api/v1/supplier-management; lookup, validation and audit endpoints; idempotency for financial/booking writes</t>
        </is>
      </c>
      <c r="S109" s="12" t="inlineStr">
        <is>
          <t>suppliers, requisitions, purchase_orders, goods_receipts, supplier_returns</t>
        </is>
      </c>
      <c r="T109" s="12" t="inlineStr">
        <is>
          <t>Tenant/property scope; required fields; optimistic locking; timezone-safe dates; reason mandatory for overrides; currency precision; tax/rate totals; approval limit; no unbalanced or duplicate posting</t>
        </is>
      </c>
      <c r="U109" s="12" t="inlineStr">
        <is>
          <t>Authorized users can complete the primary supplier management workflow; invalid or conflicting actions are blocked with clear messages; saved changes appear in related screens; sensitive changes are auditable.</t>
        </is>
      </c>
      <c r="V109" s="12" t="inlineStr">
        <is>
          <t>RBAC, tenant and property isolation, server-side authorization, audit event for create/update/delete/override</t>
        </is>
      </c>
      <c r="W109" s="12" t="n"/>
      <c r="X109" s="14" t="n"/>
      <c r="Y109" s="14" t="n"/>
      <c r="Z109" s="12" t="n"/>
    </row>
    <row r="110" ht="70" customHeight="1" s="43">
      <c r="A110" s="10" t="n">
        <v>82</v>
      </c>
      <c r="B110" s="11" t="inlineStr">
        <is>
          <t>SCR-106</t>
        </is>
      </c>
      <c r="C110" s="12" t="inlineStr">
        <is>
          <t>Completed</t>
        </is>
      </c>
      <c r="D110" s="12" t="inlineStr">
        <is>
          <t>Purchasing</t>
        </is>
      </c>
      <c r="E110" s="12" t="inlineStr">
        <is>
          <t>Requisitions</t>
        </is>
      </c>
      <c r="F110" s="12" t="inlineStr">
        <is>
          <t>Purchase Requisition</t>
        </is>
      </c>
      <c r="G110" s="12" t="inlineStr">
        <is>
          <t>Enable purchasing users to manage requisitions through the Purchase Requisition workflow with real-time status, validations and traceability.</t>
        </is>
      </c>
      <c r="H11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10" s="12" t="inlineStr">
        <is>
          <t>List, search, filter, view, create, edit, cancel/delete where allowed, export, audit</t>
        </is>
      </c>
      <c r="J110" s="12" t="inlineStr">
        <is>
          <t>Purchase Manager / Approver / Storekeeper</t>
        </is>
      </c>
      <c r="K110" s="12" t="inlineStr">
        <is>
          <t>Should Have</t>
        </is>
      </c>
      <c r="L110" s="12" t="inlineStr">
        <is>
          <t>7. Inventory &amp; Procurement</t>
        </is>
      </c>
      <c r="M110" s="12" t="inlineStr">
        <is>
          <t>S14-S15</t>
        </is>
      </c>
      <c r="N110" s="12" t="inlineStr">
        <is>
          <t>Not Started</t>
        </is>
      </c>
      <c r="O110" s="13">
        <f>IF(N110="Done",1,IF(N110="QA",0.9,IF(N110="Integration",0.75,IF(N110="Frontend",0.55,IF(N110="Backend",0.35,IF(N110="UX/UI",0.1,0))))))</f>
        <v/>
      </c>
      <c r="P110" s="12" t="inlineStr">
        <is>
          <t>Inventory, Finance, Approvals</t>
        </is>
      </c>
      <c r="Q110" s="12" t="inlineStr">
        <is>
          <t>Responsive desktop/tablet UI; loading, empty, error and permission states; filters; form validation; accessible interactions</t>
        </is>
      </c>
      <c r="R110" s="12" t="inlineStr">
        <is>
          <t>GET, POST, PUT/PATCH, DELETE /api/v1/purchase-requisition; lookup, validation and audit endpoints; idempotency for financial/booking writes</t>
        </is>
      </c>
      <c r="S110" s="12" t="inlineStr">
        <is>
          <t>suppliers, requisitions, purchase_orders, goods_receipts, supplier_returns</t>
        </is>
      </c>
      <c r="T110" s="12" t="inlineStr">
        <is>
          <t>Tenant/property scope; required fields; optimistic locking; timezone-safe dates; reason mandatory for overrides; currency precision; tax/rate totals; approval limit; no unbalanced or duplicate posting</t>
        </is>
      </c>
      <c r="U110" s="12" t="inlineStr">
        <is>
          <t>Authorized users can complete the primary purchase requisition workflow; invalid or conflicting actions are blocked with clear messages; saved changes appear in related screens; sensitive changes are auditable.</t>
        </is>
      </c>
      <c r="V110" s="12" t="inlineStr">
        <is>
          <t>RBAC, tenant and property isolation, server-side authorization, audit event for create/update/delete/override</t>
        </is>
      </c>
      <c r="W110" s="12" t="n"/>
      <c r="X110" s="14" t="n"/>
      <c r="Y110" s="14" t="n"/>
      <c r="Z110" s="12" t="n"/>
    </row>
    <row r="111" ht="70" customHeight="1" s="43">
      <c r="A111" s="10" t="n">
        <v>83</v>
      </c>
      <c r="B111" s="11" t="inlineStr">
        <is>
          <t>SCR-107</t>
        </is>
      </c>
      <c r="C111" s="12" t="inlineStr">
        <is>
          <t>Completed</t>
        </is>
      </c>
      <c r="D111" s="12" t="inlineStr">
        <is>
          <t>Purchasing</t>
        </is>
      </c>
      <c r="E111" s="12" t="inlineStr">
        <is>
          <t>Purchase Orders</t>
        </is>
      </c>
      <c r="F111" s="12" t="inlineStr">
        <is>
          <t>Purchase Order Create and Edit</t>
        </is>
      </c>
      <c r="G111" s="12" t="inlineStr">
        <is>
          <t>Enable purchasing users to manage purchase orders through the Purchase Order Create and Edit workflow with real-time status, validations and traceability.</t>
        </is>
      </c>
      <c r="H111"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11" s="12" t="inlineStr">
        <is>
          <t>List, view, create, edit, activate/deactivate, delete where safe, audit</t>
        </is>
      </c>
      <c r="J111" s="12" t="inlineStr">
        <is>
          <t>Purchase Manager / Approver / Storekeeper</t>
        </is>
      </c>
      <c r="K111" s="12" t="inlineStr">
        <is>
          <t>Should Have</t>
        </is>
      </c>
      <c r="L111" s="12" t="inlineStr">
        <is>
          <t>7. Inventory &amp; Procurement</t>
        </is>
      </c>
      <c r="M111" s="12" t="inlineStr">
        <is>
          <t>S14-S15</t>
        </is>
      </c>
      <c r="N111" s="12" t="inlineStr">
        <is>
          <t>Not Started</t>
        </is>
      </c>
      <c r="O111" s="13">
        <f>IF(N111="Done",1,IF(N111="QA",0.9,IF(N111="Integration",0.75,IF(N111="Frontend",0.55,IF(N111="Backend",0.35,IF(N111="UX/UI",0.1,0))))))</f>
        <v/>
      </c>
      <c r="P111" s="12" t="inlineStr">
        <is>
          <t>Inventory, Finance, Approvals</t>
        </is>
      </c>
      <c r="Q111" s="12" t="inlineStr">
        <is>
          <t>Responsive desktop/tablet UI; loading, empty, error and permission states; filters; form validation; accessible interactions</t>
        </is>
      </c>
      <c r="R111" s="12" t="inlineStr">
        <is>
          <t>GET, POST, PUT/PATCH, DELETE /api/v1/purchase-order-create-and-edit; lookup, validation and audit endpoints; idempotency for financial/booking writes</t>
        </is>
      </c>
      <c r="S111" s="12" t="inlineStr">
        <is>
          <t>suppliers, requisitions, purchase_orders, goods_receipts, supplier_returns</t>
        </is>
      </c>
      <c r="T111" s="12" t="inlineStr">
        <is>
          <t>Tenant/property scope; required fields; optimistic locking; timezone-safe dates; reason mandatory for overrides; currency precision; tax/rate totals; approval limit; no unbalanced or duplicate posting</t>
        </is>
      </c>
      <c r="U111" s="12" t="inlineStr">
        <is>
          <t>Authorized users can complete the primary purchase order create and edit workflow; invalid or conflicting actions are blocked with clear messages; saved changes appear in related screens; sensitive changes are auditable.</t>
        </is>
      </c>
      <c r="V111" s="12" t="inlineStr">
        <is>
          <t>RBAC, tenant and property isolation, server-side authorization, audit event for create/update/delete/override</t>
        </is>
      </c>
      <c r="W111" s="12" t="n"/>
      <c r="X111" s="14" t="n"/>
      <c r="Y111" s="14" t="n"/>
      <c r="Z111" s="12" t="n"/>
    </row>
    <row r="112" ht="70" customHeight="1" s="43">
      <c r="A112" s="10" t="n">
        <v>84</v>
      </c>
      <c r="B112" s="11" t="inlineStr">
        <is>
          <t>SCR-108</t>
        </is>
      </c>
      <c r="C112" s="12" t="inlineStr">
        <is>
          <t>Completed</t>
        </is>
      </c>
      <c r="D112" s="12" t="inlineStr">
        <is>
          <t>Purchasing</t>
        </is>
      </c>
      <c r="E112" s="12" t="inlineStr">
        <is>
          <t>Receiving</t>
        </is>
      </c>
      <c r="F112" s="12" t="inlineStr">
        <is>
          <t>Goods Receipt Note</t>
        </is>
      </c>
      <c r="G112" s="12" t="inlineStr">
        <is>
          <t>Enable purchasing users to manage receiving through the Goods Receipt Note workflow with real-time status, validations and traceability.</t>
        </is>
      </c>
      <c r="H11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12" s="12" t="inlineStr">
        <is>
          <t>List, search, filter, view, create, edit, cancel/delete where allowed, export, audit</t>
        </is>
      </c>
      <c r="J112" s="12" t="inlineStr">
        <is>
          <t>Purchase Manager / Approver / Storekeeper</t>
        </is>
      </c>
      <c r="K112" s="12" t="inlineStr">
        <is>
          <t>Should Have</t>
        </is>
      </c>
      <c r="L112" s="12" t="inlineStr">
        <is>
          <t>7. Inventory &amp; Procurement</t>
        </is>
      </c>
      <c r="M112" s="12" t="inlineStr">
        <is>
          <t>S14-S15</t>
        </is>
      </c>
      <c r="N112" s="12" t="inlineStr">
        <is>
          <t>Not Started</t>
        </is>
      </c>
      <c r="O112" s="13">
        <f>IF(N112="Done",1,IF(N112="QA",0.9,IF(N112="Integration",0.75,IF(N112="Frontend",0.55,IF(N112="Backend",0.35,IF(N112="UX/UI",0.1,0))))))</f>
        <v/>
      </c>
      <c r="P112" s="12" t="inlineStr">
        <is>
          <t>Inventory, Finance, Approvals</t>
        </is>
      </c>
      <c r="Q112" s="12" t="inlineStr">
        <is>
          <t>Responsive desktop/tablet UI; loading, empty, error and permission states; filters; form validation; accessible interactions</t>
        </is>
      </c>
      <c r="R112" s="12" t="inlineStr">
        <is>
          <t>GET, POST, PUT/PATCH, DELETE /api/v1/goods-receipt-note; lookup, validation and audit endpoints; idempotency for financial/booking writes</t>
        </is>
      </c>
      <c r="S112" s="12" t="inlineStr">
        <is>
          <t>suppliers, requisitions, purchase_orders, goods_receipts, supplier_returns</t>
        </is>
      </c>
      <c r="T112" s="12" t="inlineStr">
        <is>
          <t>Tenant/property scope; required fields; optimistic locking; timezone-safe dates; reason mandatory for overrides; currency precision; tax/rate totals; approval limit; no unbalanced or duplicate posting</t>
        </is>
      </c>
      <c r="U112" s="12" t="inlineStr">
        <is>
          <t>Authorized users can complete the primary goods receipt note workflow; invalid or conflicting actions are blocked with clear messages; saved changes appear in related screens; sensitive changes are auditable.</t>
        </is>
      </c>
      <c r="V112" s="12" t="inlineStr">
        <is>
          <t>RBAC, tenant and property isolation, server-side authorization, audit event for create/update/delete/override</t>
        </is>
      </c>
      <c r="W112" s="12" t="n"/>
      <c r="X112" s="14" t="n"/>
      <c r="Y112" s="14" t="n"/>
      <c r="Z112" s="12" t="n"/>
    </row>
    <row r="113" ht="70" customHeight="1" s="43">
      <c r="A113" s="10" t="n">
        <v>85</v>
      </c>
      <c r="B113" s="11" t="inlineStr">
        <is>
          <t>SCR-109</t>
        </is>
      </c>
      <c r="C113" s="12" t="inlineStr">
        <is>
          <t>Completed</t>
        </is>
      </c>
      <c r="D113" s="12" t="inlineStr">
        <is>
          <t>Purchasing</t>
        </is>
      </c>
      <c r="E113" s="12" t="inlineStr">
        <is>
          <t>Returns</t>
        </is>
      </c>
      <c r="F113" s="12" t="inlineStr">
        <is>
          <t>Supplier Return</t>
        </is>
      </c>
      <c r="G113" s="12" t="inlineStr">
        <is>
          <t>Enable purchasing users to manage returns through the Supplier Return workflow with real-time status, validations and traceability.</t>
        </is>
      </c>
      <c r="H11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13" s="12" t="inlineStr">
        <is>
          <t>List, search, filter, view, create, edit, cancel/delete where allowed, export, audit</t>
        </is>
      </c>
      <c r="J113" s="12" t="inlineStr">
        <is>
          <t>Purchase Manager / Approver / Storekeeper</t>
        </is>
      </c>
      <c r="K113" s="12" t="inlineStr">
        <is>
          <t>Should Have</t>
        </is>
      </c>
      <c r="L113" s="12" t="inlineStr">
        <is>
          <t>7. Inventory &amp; Procurement</t>
        </is>
      </c>
      <c r="M113" s="12" t="inlineStr">
        <is>
          <t>S14-S15</t>
        </is>
      </c>
      <c r="N113" s="12" t="inlineStr">
        <is>
          <t>Not Started</t>
        </is>
      </c>
      <c r="O113" s="13">
        <f>IF(N113="Done",1,IF(N113="QA",0.9,IF(N113="Integration",0.75,IF(N113="Frontend",0.55,IF(N113="Backend",0.35,IF(N113="UX/UI",0.1,0))))))</f>
        <v/>
      </c>
      <c r="P113" s="12" t="inlineStr">
        <is>
          <t>Inventory, Finance, Approvals</t>
        </is>
      </c>
      <c r="Q113" s="12" t="inlineStr">
        <is>
          <t>Responsive desktop/tablet UI; loading, empty, error and permission states; filters; form validation; accessible interactions</t>
        </is>
      </c>
      <c r="R113" s="12" t="inlineStr">
        <is>
          <t>GET, POST, PUT/PATCH, DELETE /api/v1/supplier-return; lookup, validation and audit endpoints; idempotency for financial/booking writes</t>
        </is>
      </c>
      <c r="S113" s="12" t="inlineStr">
        <is>
          <t>suppliers, requisitions, purchase_orders, goods_receipts, supplier_returns</t>
        </is>
      </c>
      <c r="T113" s="12" t="inlineStr">
        <is>
          <t>Tenant/property scope; required fields; optimistic locking; timezone-safe dates; reason mandatory for overrides; currency precision; tax/rate totals; approval limit; no unbalanced or duplicate posting</t>
        </is>
      </c>
      <c r="U113" s="12" t="inlineStr">
        <is>
          <t>Authorized users can complete the primary supplier return workflow; invalid or conflicting actions are blocked with clear messages; saved changes appear in related screens; sensitive changes are auditable.</t>
        </is>
      </c>
      <c r="V113" s="12" t="inlineStr">
        <is>
          <t>RBAC, tenant and property isolation, server-side authorization, audit event for create/update/delete/override</t>
        </is>
      </c>
      <c r="W113" s="12" t="n"/>
      <c r="X113" s="14" t="n"/>
      <c r="Y113" s="14" t="n"/>
      <c r="Z113" s="12" t="n"/>
    </row>
    <row r="114" ht="70" customHeight="1" s="43">
      <c r="A114" s="10" t="n">
        <v>115</v>
      </c>
      <c r="B114" s="11" t="inlineStr">
        <is>
          <t>SCR-110</t>
        </is>
      </c>
      <c r="C114" s="12" t="inlineStr">
        <is>
          <t>Completed</t>
        </is>
      </c>
      <c r="D114" s="12" t="inlineStr">
        <is>
          <t>Workforce</t>
        </is>
      </c>
      <c r="E114" s="12" t="inlineStr">
        <is>
          <t>Employee Master</t>
        </is>
      </c>
      <c r="F114" s="12" t="inlineStr">
        <is>
          <t>Create or Edit Employee</t>
        </is>
      </c>
      <c r="G114" s="12" t="inlineStr">
        <is>
          <t>Enable workforce users to manage employee master through the Create or Edit Employee workflow with real-time status, validations and traceability.</t>
        </is>
      </c>
      <c r="H114"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14" s="12" t="inlineStr">
        <is>
          <t>List, view, create, edit, activate/deactivate, delete where safe, audit</t>
        </is>
      </c>
      <c r="J114" s="12" t="inlineStr">
        <is>
          <t>HR Manager / Department Manager / Employee</t>
        </is>
      </c>
      <c r="K114" s="12" t="inlineStr">
        <is>
          <t>Could Have</t>
        </is>
      </c>
      <c r="L114" s="12" t="inlineStr">
        <is>
          <t>10. Workforce, Finance &amp; Analytics</t>
        </is>
      </c>
      <c r="M114" s="12" t="inlineStr">
        <is>
          <t>S20-S22</t>
        </is>
      </c>
      <c r="N114" s="12" t="inlineStr">
        <is>
          <t>Not Started</t>
        </is>
      </c>
      <c r="O114" s="13">
        <f>IF(N114="Done",1,IF(N114="QA",0.9,IF(N114="Integration",0.75,IF(N114="Frontend",0.55,IF(N114="Backend",0.35,IF(N114="UX/UI",0.1,0))))))</f>
        <v/>
      </c>
      <c r="P114" s="12" t="inlineStr">
        <is>
          <t>Administration</t>
        </is>
      </c>
      <c r="Q114" s="12" t="inlineStr">
        <is>
          <t>Responsive desktop/tablet UI; loading, empty, error and permission states; filters; form validation; accessible interactions</t>
        </is>
      </c>
      <c r="R114" s="12" t="inlineStr">
        <is>
          <t>GET, POST, PUT/PATCH, DELETE /api/v1/create-or-edit-employee; lookup, validation and audit endpoints; idempotency for financial/booking writes</t>
        </is>
      </c>
      <c r="S114" s="12" t="inlineStr">
        <is>
          <t>employees, shifts, rosters, attendance, leave_requests</t>
        </is>
      </c>
      <c r="T114" s="12" t="inlineStr">
        <is>
          <t>Tenant/property scope; required fields; optimistic locking; timezone-safe dates; reason mandatory for overrides; valid status transition; linked-record integrity</t>
        </is>
      </c>
      <c r="U114" s="12" t="inlineStr">
        <is>
          <t>Authorized users can complete the primary create or edit employee workflow; invalid or conflicting actions are blocked with clear messages; saved changes appear in related screens; sensitive changes are auditable.</t>
        </is>
      </c>
      <c r="V114" s="12" t="inlineStr">
        <is>
          <t>RBAC, tenant and property isolation, server-side authorization, audit event for create/update/delete/override</t>
        </is>
      </c>
      <c r="W114" s="12" t="n"/>
      <c r="X114" s="14" t="n"/>
      <c r="Y114" s="14" t="n"/>
      <c r="Z114" s="12" t="n"/>
    </row>
    <row r="115" ht="70" customHeight="1" s="43">
      <c r="A115" s="10" t="n">
        <v>116</v>
      </c>
      <c r="B115" s="11" t="inlineStr">
        <is>
          <t>SCR-111</t>
        </is>
      </c>
      <c r="C115" s="12" t="inlineStr">
        <is>
          <t>Completed</t>
        </is>
      </c>
      <c r="D115" s="12" t="inlineStr">
        <is>
          <t>Workforce</t>
        </is>
      </c>
      <c r="E115" s="12" t="inlineStr">
        <is>
          <t>Time &amp; Leave</t>
        </is>
      </c>
      <c r="F115" s="12" t="inlineStr">
        <is>
          <t>Leave and Attendance Management</t>
        </is>
      </c>
      <c r="G115" s="12" t="inlineStr">
        <is>
          <t>Enable workforce users to manage time &amp; leave through the Leave and Attendance Management workflow with real-time status, validations and traceability.</t>
        </is>
      </c>
      <c r="H115"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15" s="12" t="inlineStr">
        <is>
          <t>List, view, create, edit, activate/deactivate, delete where safe, audit</t>
        </is>
      </c>
      <c r="J115" s="12" t="inlineStr">
        <is>
          <t>HR Manager / Department Manager / Employee</t>
        </is>
      </c>
      <c r="K115" s="12" t="inlineStr">
        <is>
          <t>Could Have</t>
        </is>
      </c>
      <c r="L115" s="12" t="inlineStr">
        <is>
          <t>10. Workforce, Finance &amp; Analytics</t>
        </is>
      </c>
      <c r="M115" s="12" t="inlineStr">
        <is>
          <t>S20-S22</t>
        </is>
      </c>
      <c r="N115" s="12" t="inlineStr">
        <is>
          <t>Not Started</t>
        </is>
      </c>
      <c r="O115" s="13">
        <f>IF(N115="Done",1,IF(N115="QA",0.9,IF(N115="Integration",0.75,IF(N115="Frontend",0.55,IF(N115="Backend",0.35,IF(N115="UX/UI",0.1,0))))))</f>
        <v/>
      </c>
      <c r="P115" s="12" t="inlineStr">
        <is>
          <t>Administration</t>
        </is>
      </c>
      <c r="Q115" s="12" t="inlineStr">
        <is>
          <t>Responsive desktop/tablet UI; loading, empty, error and permission states; filters; form validation; accessible interactions</t>
        </is>
      </c>
      <c r="R115" s="12" t="inlineStr">
        <is>
          <t>GET, POST, PUT/PATCH, DELETE /api/v1/leave-and-attendance-management; lookup, validation and audit endpoints; idempotency for financial/booking writes</t>
        </is>
      </c>
      <c r="S115" s="12" t="inlineStr">
        <is>
          <t>employees, shifts, rosters, attendance, leave_requests</t>
        </is>
      </c>
      <c r="T115" s="12" t="inlineStr">
        <is>
          <t>Tenant/property scope; required fields; optimistic locking; timezone-safe dates; reason mandatory for overrides; valid status transition; linked-record integrity</t>
        </is>
      </c>
      <c r="U115" s="12" t="inlineStr">
        <is>
          <t>Authorized users can complete the primary leave and attendance management workflow; invalid or conflicting actions are blocked with clear messages; saved changes appear in related screens; sensitive changes are auditable.</t>
        </is>
      </c>
      <c r="V115" s="12" t="inlineStr">
        <is>
          <t>RBAC, tenant and property isolation, server-side authorization, audit event for create/update/delete/override</t>
        </is>
      </c>
      <c r="W115" s="12" t="n"/>
      <c r="X115" s="14" t="n"/>
      <c r="Y115" s="14" t="n"/>
      <c r="Z115" s="12" t="n"/>
    </row>
    <row r="116" ht="70" customHeight="1" s="43">
      <c r="A116" s="10" t="n">
        <v>117</v>
      </c>
      <c r="B116" s="11" t="inlineStr">
        <is>
          <t>SCR-112</t>
        </is>
      </c>
      <c r="C116" s="12" t="inlineStr">
        <is>
          <t>Completed</t>
        </is>
      </c>
      <c r="D116" s="12" t="inlineStr">
        <is>
          <t>Workforce</t>
        </is>
      </c>
      <c r="E116" s="12" t="inlineStr">
        <is>
          <t>Shift Setup</t>
        </is>
      </c>
      <c r="F116" s="12" t="inlineStr">
        <is>
          <t>Shift Template and Creation</t>
        </is>
      </c>
      <c r="G116" s="12" t="inlineStr">
        <is>
          <t>Enable workforce users to manage shift setup through the Shift Template and Creation workflow with real-time status, validations and traceability.</t>
        </is>
      </c>
      <c r="H11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16" s="12" t="inlineStr">
        <is>
          <t>List, search, filter, view, create, edit, cancel/delete where allowed, export, audit</t>
        </is>
      </c>
      <c r="J116" s="12" t="inlineStr">
        <is>
          <t>HR Manager / Department Manager / Employee</t>
        </is>
      </c>
      <c r="K116" s="12" t="inlineStr">
        <is>
          <t>Could Have</t>
        </is>
      </c>
      <c r="L116" s="12" t="inlineStr">
        <is>
          <t>10. Workforce, Finance &amp; Analytics</t>
        </is>
      </c>
      <c r="M116" s="12" t="inlineStr">
        <is>
          <t>S20-S22</t>
        </is>
      </c>
      <c r="N116" s="12" t="inlineStr">
        <is>
          <t>Not Started</t>
        </is>
      </c>
      <c r="O116" s="13">
        <f>IF(N116="Done",1,IF(N116="QA",0.9,IF(N116="Integration",0.75,IF(N116="Frontend",0.55,IF(N116="Backend",0.35,IF(N116="UX/UI",0.1,0))))))</f>
        <v/>
      </c>
      <c r="P116" s="12" t="inlineStr">
        <is>
          <t>Administration</t>
        </is>
      </c>
      <c r="Q116" s="12" t="inlineStr">
        <is>
          <t>Responsive desktop/tablet UI; loading, empty, error and permission states; filters; form validation; accessible interactions</t>
        </is>
      </c>
      <c r="R116" s="12" t="inlineStr">
        <is>
          <t>GET, POST, PUT/PATCH, DELETE /api/v1/shift-template-and-creation; lookup, validation and audit endpoints; idempotency for financial/booking writes</t>
        </is>
      </c>
      <c r="S116" s="12" t="inlineStr">
        <is>
          <t>employees, shifts, rosters, attendance, leave_requests</t>
        </is>
      </c>
      <c r="T116" s="12" t="inlineStr">
        <is>
          <t>Tenant/property scope; required fields; optimistic locking; timezone-safe dates; reason mandatory for overrides; valid status transition; linked-record integrity</t>
        </is>
      </c>
      <c r="U116" s="12" t="inlineStr">
        <is>
          <t>Authorized users can complete the primary shift template and creation workflow; invalid or conflicting actions are blocked with clear messages; saved changes appear in related screens; sensitive changes are auditable.</t>
        </is>
      </c>
      <c r="V116" s="12" t="inlineStr">
        <is>
          <t>RBAC, tenant and property isolation, server-side authorization, audit event for create/update/delete/override</t>
        </is>
      </c>
      <c r="W116" s="12" t="n"/>
      <c r="X116" s="14" t="n"/>
      <c r="Y116" s="14" t="n"/>
      <c r="Z116" s="12" t="n"/>
    </row>
    <row r="117" ht="70" customHeight="1" s="43">
      <c r="A117" s="10" t="n">
        <v>118</v>
      </c>
      <c r="B117" s="11" t="inlineStr">
        <is>
          <t>SCR-113</t>
        </is>
      </c>
      <c r="C117" s="12" t="inlineStr">
        <is>
          <t>Completed</t>
        </is>
      </c>
      <c r="D117" s="12" t="inlineStr">
        <is>
          <t>Workforce</t>
        </is>
      </c>
      <c r="E117" s="12" t="inlineStr">
        <is>
          <t>Roster Changes</t>
        </is>
      </c>
      <c r="F117" s="12" t="inlineStr">
        <is>
          <t>Roster Replacement and Shift Swap</t>
        </is>
      </c>
      <c r="G117" s="12" t="inlineStr">
        <is>
          <t>Enable workforce users to manage roster changes through the Roster Replacement and Shift Swap workflow with real-time status, validations and traceability.</t>
        </is>
      </c>
      <c r="H117" s="12" t="inlineStr">
        <is>
          <t>Provide role-aware view timeline, filter, create, assign, reschedule, conflict-check, cancel; support search and filters; validate mandatory fields and business conflicts; persist changes atomically; refresh related availability, balances or task status; record user, timestamp and reason for sensitive changes.</t>
        </is>
      </c>
      <c r="I117" s="12" t="inlineStr">
        <is>
          <t>View timeline, filter, create, assign, reschedule, conflict-check, cancel</t>
        </is>
      </c>
      <c r="J117" s="12" t="inlineStr">
        <is>
          <t>HR Manager / Department Manager / Employee</t>
        </is>
      </c>
      <c r="K117" s="12" t="inlineStr">
        <is>
          <t>Could Have</t>
        </is>
      </c>
      <c r="L117" s="12" t="inlineStr">
        <is>
          <t>10. Workforce, Finance &amp; Analytics</t>
        </is>
      </c>
      <c r="M117" s="12" t="inlineStr">
        <is>
          <t>S20-S22</t>
        </is>
      </c>
      <c r="N117" s="12" t="inlineStr">
        <is>
          <t>Not Started</t>
        </is>
      </c>
      <c r="O117" s="13">
        <f>IF(N117="Done",1,IF(N117="QA",0.9,IF(N117="Integration",0.75,IF(N117="Frontend",0.55,IF(N117="Backend",0.35,IF(N117="UX/UI",0.1,0))))))</f>
        <v/>
      </c>
      <c r="P117" s="12" t="inlineStr">
        <is>
          <t>Administration</t>
        </is>
      </c>
      <c r="Q117" s="12" t="inlineStr">
        <is>
          <t>Responsive desktop/tablet UI; loading, empty, error and permission states; filters; form validation; accessible interactions</t>
        </is>
      </c>
      <c r="R117" s="12" t="inlineStr">
        <is>
          <t>GET, POST, PUT/PATCH, DELETE /api/v1/roster-replacement-and-shift-swap; lookup, validation and audit endpoints; idempotency for financial/booking writes</t>
        </is>
      </c>
      <c r="S117" s="12" t="inlineStr">
        <is>
          <t>employees, shifts, rosters, attendance, leave_requests</t>
        </is>
      </c>
      <c r="T117" s="12" t="inlineStr">
        <is>
          <t>Tenant/property scope; required fields; optimistic locking; timezone-safe dates; reason mandatory for overrides; valid status transition; linked-record integrity</t>
        </is>
      </c>
      <c r="U117" s="12" t="inlineStr">
        <is>
          <t>Authorized users can complete the primary roster replacement and shift swap workflow; invalid or conflicting actions are blocked with clear messages; saved changes appear in related screens; sensitive changes are auditable.</t>
        </is>
      </c>
      <c r="V117" s="12" t="inlineStr">
        <is>
          <t>RBAC, tenant and property isolation, server-side authorization, audit event for create/update/delete/override</t>
        </is>
      </c>
      <c r="W117" s="12" t="n"/>
      <c r="X117" s="14" t="n"/>
      <c r="Y117" s="14" t="n"/>
      <c r="Z117" s="12" t="n"/>
    </row>
    <row r="118" ht="70" customHeight="1" s="43">
      <c r="A118" s="10" t="n">
        <v>44</v>
      </c>
      <c r="B118" s="11" t="inlineStr">
        <is>
          <t>SCR-114</t>
        </is>
      </c>
      <c r="C118" s="12" t="inlineStr">
        <is>
          <t>Completed</t>
        </is>
      </c>
      <c r="D118" s="12" t="inlineStr">
        <is>
          <t>Finance</t>
        </is>
      </c>
      <c r="E118" s="12" t="inlineStr">
        <is>
          <t>Folio Control</t>
        </is>
      </c>
      <c r="F118" s="12" t="inlineStr">
        <is>
          <t>Guest Folio Adjustment</t>
        </is>
      </c>
      <c r="G118" s="12" t="inlineStr">
        <is>
          <t>Enable finance users to manage folio control through the Guest Folio Adjustment workflow with real-time status, validations and traceability.</t>
        </is>
      </c>
      <c r="H11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18" s="12" t="inlineStr">
        <is>
          <t>List, search, filter, view, create, edit, cancel/delete where allowed, export, audit</t>
        </is>
      </c>
      <c r="J118" s="12" t="inlineStr">
        <is>
          <t>Finance Manager / Night Auditor / Cashier</t>
        </is>
      </c>
      <c r="K118" s="12" t="inlineStr">
        <is>
          <t>Must Have</t>
        </is>
      </c>
      <c r="L118" s="12" t="inlineStr">
        <is>
          <t>3. Reservations, Groups &amp; Front Desk</t>
        </is>
      </c>
      <c r="M118" s="12" t="inlineStr">
        <is>
          <t>S05-S07</t>
        </is>
      </c>
      <c r="N118" s="12" t="inlineStr">
        <is>
          <t>Not Started</t>
        </is>
      </c>
      <c r="O118" s="13">
        <f>IF(N118="Done",1,IF(N118="QA",0.9,IF(N118="Integration",0.75,IF(N118="Frontend",0.55,IF(N118="Backend",0.35,IF(N118="UX/UI",0.1,0))))))</f>
        <v/>
      </c>
      <c r="P118" s="12" t="inlineStr">
        <is>
          <t>All revenue modules</t>
        </is>
      </c>
      <c r="Q118" s="12" t="inlineStr">
        <is>
          <t>Responsive desktop/tablet UI; loading, empty, error and permission states; filters; form validation; accessible interactions</t>
        </is>
      </c>
      <c r="R118" s="12" t="inlineStr">
        <is>
          <t>GET, POST, PUT/PATCH, DELETE /api/v1/guest-folio-adjustment; lookup, validation and audit endpoints; idempotency for financial/booking writes</t>
        </is>
      </c>
      <c r="S118" s="12" t="inlineStr">
        <is>
          <t>folios, payments, refunds, invoices, credit_notes, cash_drawers, taxes, receivables</t>
        </is>
      </c>
      <c r="T118" s="12" t="inlineStr">
        <is>
          <t>Tenant/property scope; required fields; optimistic locking; timezone-safe dates; reason mandatory for overrides; currency precision; tax/rate totals; approval limit; no unbalanced or duplicate posting</t>
        </is>
      </c>
      <c r="U118" s="12" t="inlineStr">
        <is>
          <t>Authorized users can complete the primary guest folio adjustment workflow; invalid or conflicting actions are blocked with clear messages; saved changes appear in related screens; sensitive changes are auditable.</t>
        </is>
      </c>
      <c r="V118" s="12" t="inlineStr">
        <is>
          <t>RBAC, tenant and property isolation, server-side authorization, audit event for create/update/delete/override; field masking and approval/audit evidence required</t>
        </is>
      </c>
      <c r="W118" s="12" t="n"/>
      <c r="X118" s="14" t="n"/>
      <c r="Y118" s="14" t="n"/>
      <c r="Z118" s="12" t="n"/>
    </row>
    <row r="119" ht="70" customHeight="1" s="43">
      <c r="A119" s="10" t="n">
        <v>45</v>
      </c>
      <c r="B119" s="11" t="inlineStr">
        <is>
          <t>SCR-115</t>
        </is>
      </c>
      <c r="C119" s="12" t="inlineStr">
        <is>
          <t>Completed</t>
        </is>
      </c>
      <c r="D119" s="12" t="inlineStr">
        <is>
          <t>Finance</t>
        </is>
      </c>
      <c r="E119" s="12" t="inlineStr">
        <is>
          <t>Payment Control</t>
        </is>
      </c>
      <c r="F119" s="12" t="inlineStr">
        <is>
          <t>Payment Details and Reversal</t>
        </is>
      </c>
      <c r="G119" s="12" t="inlineStr">
        <is>
          <t>Enable finance users to manage payment control through the Payment Details and Reversal workflow with real-time status, validations and traceability.</t>
        </is>
      </c>
      <c r="H119" s="12" t="inlineStr">
        <is>
          <t>Provide role-aware search, view, validate, process, reverse with approval, audit; support search and filters; validate mandatory fields and business conflicts; persist changes atomically; refresh related availability, balances or task status; record user, timestamp and reason for sensitive changes.</t>
        </is>
      </c>
      <c r="I119" s="12" t="inlineStr">
        <is>
          <t>Search, view, validate, process, reverse with approval, audit</t>
        </is>
      </c>
      <c r="J119" s="12" t="inlineStr">
        <is>
          <t>Finance Manager / Night Auditor / Cashier</t>
        </is>
      </c>
      <c r="K119" s="12" t="inlineStr">
        <is>
          <t>Must Have</t>
        </is>
      </c>
      <c r="L119" s="12" t="inlineStr">
        <is>
          <t>3. Reservations, Groups &amp; Front Desk</t>
        </is>
      </c>
      <c r="M119" s="12" t="inlineStr">
        <is>
          <t>S05-S07</t>
        </is>
      </c>
      <c r="N119" s="12" t="inlineStr">
        <is>
          <t>Not Started</t>
        </is>
      </c>
      <c r="O119" s="13">
        <f>IF(N119="Done",1,IF(N119="QA",0.9,IF(N119="Integration",0.75,IF(N119="Frontend",0.55,IF(N119="Backend",0.35,IF(N119="UX/UI",0.1,0))))))</f>
        <v/>
      </c>
      <c r="P119" s="12" t="inlineStr">
        <is>
          <t>All revenue modules</t>
        </is>
      </c>
      <c r="Q119" s="12" t="inlineStr">
        <is>
          <t>Responsive desktop/tablet UI; loading, empty, error and permission states; filters; form validation; accessible interactions</t>
        </is>
      </c>
      <c r="R119" s="12" t="inlineStr">
        <is>
          <t>GET, POST/PATCH /api/v1/payment-details-and-reversal; lookup, validation and audit endpoints; idempotency for financial/booking writes</t>
        </is>
      </c>
      <c r="S119" s="12" t="inlineStr">
        <is>
          <t>folios, payments, refunds, invoices, credit_notes, cash_drawers, taxes, receivables</t>
        </is>
      </c>
      <c r="T119" s="12" t="inlineStr">
        <is>
          <t>Tenant/property scope; required fields; optimistic locking; timezone-safe dates; reason mandatory for overrides; currency precision; tax/rate totals; approval limit; no unbalanced or duplicate posting</t>
        </is>
      </c>
      <c r="U119" s="12" t="inlineStr">
        <is>
          <t>Authorized users can complete the primary payment details and reversal workflow; invalid or conflicting actions are blocked with clear messages; saved changes appear in related screens; sensitive changes are auditable.</t>
        </is>
      </c>
      <c r="V119" s="12" t="inlineStr">
        <is>
          <t>RBAC, tenant and property isolation, server-side authorization, audit event for create/update/delete/override; field masking and approval/audit evidence required</t>
        </is>
      </c>
      <c r="W119" s="12" t="n"/>
      <c r="X119" s="14" t="n"/>
      <c r="Y119" s="14" t="n"/>
      <c r="Z119" s="12" t="n"/>
    </row>
    <row r="120" ht="70" customHeight="1" s="43">
      <c r="A120" s="10" t="n">
        <v>46</v>
      </c>
      <c r="B120" s="11" t="inlineStr">
        <is>
          <t>SCR-116</t>
        </is>
      </c>
      <c r="C120" s="12" t="inlineStr">
        <is>
          <t>Completed</t>
        </is>
      </c>
      <c r="D120" s="12" t="inlineStr">
        <is>
          <t>Finance</t>
        </is>
      </c>
      <c r="E120" s="12" t="inlineStr">
        <is>
          <t>Invoicing</t>
        </is>
      </c>
      <c r="F120" s="12" t="inlineStr">
        <is>
          <t>Invoice and Credit Note</t>
        </is>
      </c>
      <c r="G120" s="12" t="inlineStr">
        <is>
          <t>Enable finance users to manage invoicing through the Invoice and Credit Note workflow with real-time status, validations and traceability.</t>
        </is>
      </c>
      <c r="H12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20" s="12" t="inlineStr">
        <is>
          <t>List, search, filter, view, create, edit, cancel/delete where allowed, export, audit</t>
        </is>
      </c>
      <c r="J120" s="12" t="inlineStr">
        <is>
          <t>Finance Manager / Night Auditor / Cashier</t>
        </is>
      </c>
      <c r="K120" s="12" t="inlineStr">
        <is>
          <t>Must Have</t>
        </is>
      </c>
      <c r="L120" s="12" t="inlineStr">
        <is>
          <t>3. Reservations, Groups &amp; Front Desk</t>
        </is>
      </c>
      <c r="M120" s="12" t="inlineStr">
        <is>
          <t>S05-S07</t>
        </is>
      </c>
      <c r="N120" s="12" t="inlineStr">
        <is>
          <t>Not Started</t>
        </is>
      </c>
      <c r="O120" s="13">
        <f>IF(N120="Done",1,IF(N120="QA",0.9,IF(N120="Integration",0.75,IF(N120="Frontend",0.55,IF(N120="Backend",0.35,IF(N120="UX/UI",0.1,0))))))</f>
        <v/>
      </c>
      <c r="P120" s="12" t="inlineStr">
        <is>
          <t>All revenue modules</t>
        </is>
      </c>
      <c r="Q120" s="12" t="inlineStr">
        <is>
          <t>Responsive desktop/tablet UI; loading, empty, error and permission states; filters; form validation; accessible interactions</t>
        </is>
      </c>
      <c r="R120" s="12" t="inlineStr">
        <is>
          <t>GET, POST, PUT/PATCH, DELETE /api/v1/invoice-and-credit-note; lookup, validation and audit endpoints; idempotency for financial/booking writes</t>
        </is>
      </c>
      <c r="S120" s="12" t="inlineStr">
        <is>
          <t>folios, payments, refunds, invoices, credit_notes, cash_drawers, taxes, receivables</t>
        </is>
      </c>
      <c r="T120" s="12" t="inlineStr">
        <is>
          <t>Tenant/property scope; required fields; optimistic locking; timezone-safe dates; reason mandatory for overrides; currency precision; tax/rate totals; approval limit; no unbalanced or duplicate posting</t>
        </is>
      </c>
      <c r="U120" s="12" t="inlineStr">
        <is>
          <t>Authorized users can complete the primary invoice and credit note workflow; invalid or conflicting actions are blocked with clear messages; saved changes appear in related screens; sensitive changes are auditable.</t>
        </is>
      </c>
      <c r="V120" s="12" t="inlineStr">
        <is>
          <t>RBAC, tenant and property isolation, server-side authorization, audit event for create/update/delete/override; field masking and approval/audit evidence required</t>
        </is>
      </c>
      <c r="W120" s="12" t="n"/>
      <c r="X120" s="14" t="n"/>
      <c r="Y120" s="14" t="n"/>
      <c r="Z120" s="12" t="n"/>
    </row>
    <row r="121" ht="70" customHeight="1" s="43">
      <c r="A121" s="10" t="n">
        <v>47</v>
      </c>
      <c r="B121" s="11" t="inlineStr">
        <is>
          <t>SCR-117</t>
        </is>
      </c>
      <c r="C121" s="12" t="inlineStr">
        <is>
          <t>Completed</t>
        </is>
      </c>
      <c r="D121" s="12" t="inlineStr">
        <is>
          <t>Finance</t>
        </is>
      </c>
      <c r="E121" s="12" t="inlineStr">
        <is>
          <t>Cash Drawer</t>
        </is>
      </c>
      <c r="F121" s="12" t="inlineStr">
        <is>
          <t>Cash Drawer Open and Close</t>
        </is>
      </c>
      <c r="G121" s="12" t="inlineStr">
        <is>
          <t>Enable finance users to manage cash drawer through the Cash Drawer Open and Close workflow with real-time status, validations and traceability.</t>
        </is>
      </c>
      <c r="H12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21" s="12" t="inlineStr">
        <is>
          <t>List, search, filter, view, create, edit, cancel/delete where allowed, export, audit</t>
        </is>
      </c>
      <c r="J121" s="12" t="inlineStr">
        <is>
          <t>Finance Manager / Night Auditor / Cashier</t>
        </is>
      </c>
      <c r="K121" s="12" t="inlineStr">
        <is>
          <t>Must Have</t>
        </is>
      </c>
      <c r="L121" s="12" t="inlineStr">
        <is>
          <t>3. Reservations, Groups &amp; Front Desk</t>
        </is>
      </c>
      <c r="M121" s="12" t="inlineStr">
        <is>
          <t>S05-S07</t>
        </is>
      </c>
      <c r="N121" s="12" t="inlineStr">
        <is>
          <t>Not Started</t>
        </is>
      </c>
      <c r="O121" s="13">
        <f>IF(N121="Done",1,IF(N121="QA",0.9,IF(N121="Integration",0.75,IF(N121="Frontend",0.55,IF(N121="Backend",0.35,IF(N121="UX/UI",0.1,0))))))</f>
        <v/>
      </c>
      <c r="P121" s="12" t="inlineStr">
        <is>
          <t>All revenue modules</t>
        </is>
      </c>
      <c r="Q121" s="12" t="inlineStr">
        <is>
          <t>Responsive desktop/tablet UI; loading, empty, error and permission states; filters; form validation; accessible interactions</t>
        </is>
      </c>
      <c r="R121" s="12" t="inlineStr">
        <is>
          <t>GET, POST, PUT/PATCH, DELETE /api/v1/cash-drawer-open-and-close; lookup, validation and audit endpoints; idempotency for financial/booking writes</t>
        </is>
      </c>
      <c r="S121" s="12" t="inlineStr">
        <is>
          <t>folios, payments, refunds, invoices, credit_notes, cash_drawers, taxes, receivables</t>
        </is>
      </c>
      <c r="T121" s="12" t="inlineStr">
        <is>
          <t>Tenant/property scope; required fields; optimistic locking; timezone-safe dates; reason mandatory for overrides; currency precision; tax/rate totals; approval limit; no unbalanced or duplicate posting</t>
        </is>
      </c>
      <c r="U121" s="12" t="inlineStr">
        <is>
          <t>Authorized users can complete the primary cash drawer open and close workflow; invalid or conflicting actions are blocked with clear messages; saved changes appear in related screens; sensitive changes are auditable.</t>
        </is>
      </c>
      <c r="V121" s="12" t="inlineStr">
        <is>
          <t>RBAC, tenant and property isolation, server-side authorization, audit event for create/update/delete/override; field masking and approval/audit evidence required</t>
        </is>
      </c>
      <c r="W121" s="12" t="n"/>
      <c r="X121" s="14" t="n"/>
      <c r="Y121" s="14" t="n"/>
      <c r="Z121" s="12" t="n"/>
    </row>
    <row r="122" ht="70" customHeight="1" s="43">
      <c r="A122" s="10" t="n">
        <v>23</v>
      </c>
      <c r="B122" s="11" t="inlineStr">
        <is>
          <t>SCR-118</t>
        </is>
      </c>
      <c r="C122" s="12" t="inlineStr">
        <is>
          <t>Completed</t>
        </is>
      </c>
      <c r="D122" s="12" t="inlineStr">
        <is>
          <t>Finance</t>
        </is>
      </c>
      <c r="E122" s="12" t="inlineStr">
        <is>
          <t>Tax Configuration</t>
        </is>
      </c>
      <c r="F122" s="12" t="inlineStr">
        <is>
          <t>Tax and Service Charge Setup</t>
        </is>
      </c>
      <c r="G122" s="12" t="inlineStr">
        <is>
          <t>Enable finance users to manage tax configuration through the Tax and Service Charge Setup workflow with real-time status, validations and traceability.</t>
        </is>
      </c>
      <c r="H122"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22" s="12" t="inlineStr">
        <is>
          <t>List, view, create, edit, activate/deactivate, delete where safe, audit</t>
        </is>
      </c>
      <c r="J122" s="12" t="inlineStr">
        <is>
          <t>Finance Manager / Night Auditor / Cashier</t>
        </is>
      </c>
      <c r="K122" s="12" t="inlineStr">
        <is>
          <t>Must Have</t>
        </is>
      </c>
      <c r="L122" s="12" t="inlineStr">
        <is>
          <t>2. Inventory, Rates &amp; Distribution Foundation</t>
        </is>
      </c>
      <c r="M122" s="12" t="inlineStr">
        <is>
          <t>S03-S04</t>
        </is>
      </c>
      <c r="N122" s="12" t="inlineStr">
        <is>
          <t>Not Started</t>
        </is>
      </c>
      <c r="O122" s="13">
        <f>IF(N122="Done",1,IF(N122="QA",0.9,IF(N122="Integration",0.75,IF(N122="Frontend",0.55,IF(N122="Backend",0.35,IF(N122="UX/UI",0.1,0))))))</f>
        <v/>
      </c>
      <c r="P122" s="12" t="inlineStr">
        <is>
          <t>All revenue modules</t>
        </is>
      </c>
      <c r="Q122" s="12" t="inlineStr">
        <is>
          <t>Responsive desktop/tablet UI; loading, empty, error and permission states; filters; form validation; accessible interactions</t>
        </is>
      </c>
      <c r="R122" s="12" t="inlineStr">
        <is>
          <t>GET, POST, PUT/PATCH, DELETE /api/v1/tax-and-service-charge-setup; lookup, validation and audit endpoints; idempotency for financial/booking writes</t>
        </is>
      </c>
      <c r="S122" s="12" t="inlineStr">
        <is>
          <t>folios, payments, refunds, invoices, credit_notes, cash_drawers, taxes, receivables</t>
        </is>
      </c>
      <c r="T122" s="12" t="inlineStr">
        <is>
          <t>Tenant/property scope; required fields; optimistic locking; timezone-safe dates; reason mandatory for overrides; currency precision; tax/rate totals; approval limit; no unbalanced or duplicate posting</t>
        </is>
      </c>
      <c r="U122" s="12" t="inlineStr">
        <is>
          <t>Authorized users can complete the primary tax and service charge setup workflow; invalid or conflicting actions are blocked with clear messages; saved changes appear in related screens; sensitive changes are auditable.</t>
        </is>
      </c>
      <c r="V122" s="12" t="inlineStr">
        <is>
          <t>RBAC, tenant and property isolation, server-side authorization, audit event for create/update/delete/override; field masking and approval/audit evidence required</t>
        </is>
      </c>
      <c r="W122" s="12" t="n"/>
      <c r="X122" s="14" t="n"/>
      <c r="Y122" s="14" t="n"/>
      <c r="Z122" s="12" t="n"/>
    </row>
    <row r="123" ht="70" customHeight="1" s="43">
      <c r="A123" s="10" t="n">
        <v>24</v>
      </c>
      <c r="B123" s="11" t="inlineStr">
        <is>
          <t>SCR-119</t>
        </is>
      </c>
      <c r="C123" s="12" t="inlineStr">
        <is>
          <t>Completed</t>
        </is>
      </c>
      <c r="D123" s="12" t="inlineStr">
        <is>
          <t>Revenue Management</t>
        </is>
      </c>
      <c r="E123" s="12" t="inlineStr">
        <is>
          <t>Rate Rules</t>
        </is>
      </c>
      <c r="F123" s="12" t="inlineStr">
        <is>
          <t>Rate Rule Editor</t>
        </is>
      </c>
      <c r="G123" s="12" t="inlineStr">
        <is>
          <t>Enable revenue management users to manage rate rules through the Rate Rule Editor workflow with real-time status, validations and traceability.</t>
        </is>
      </c>
      <c r="H123"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23" s="12" t="inlineStr">
        <is>
          <t>List, view, create, edit, activate/deactivate, delete where safe, audit</t>
        </is>
      </c>
      <c r="J123" s="12" t="inlineStr">
        <is>
          <t>Revenue Manager / General Manager</t>
        </is>
      </c>
      <c r="K123" s="12" t="inlineStr">
        <is>
          <t>Must Have</t>
        </is>
      </c>
      <c r="L123" s="12" t="inlineStr">
        <is>
          <t>2. Inventory, Rates &amp; Distribution Foundation</t>
        </is>
      </c>
      <c r="M123" s="12" t="inlineStr">
        <is>
          <t>S03-S04</t>
        </is>
      </c>
      <c r="N123" s="12" t="inlineStr">
        <is>
          <t>Not Started</t>
        </is>
      </c>
      <c r="O123" s="13">
        <f>IF(N123="Done",1,IF(N123="QA",0.9,IF(N123="Integration",0.75,IF(N123="Frontend",0.55,IF(N123="Backend",0.35,IF(N123="UX/UI",0.1,0))))))</f>
        <v/>
      </c>
      <c r="P123" s="12" t="inlineStr">
        <is>
          <t>Rooms, Distribution, Reservations</t>
        </is>
      </c>
      <c r="Q123" s="12" t="inlineStr">
        <is>
          <t>Responsive desktop/tablet UI; loading, empty, error and permission states; filters; form validation; accessible interactions</t>
        </is>
      </c>
      <c r="R123" s="12" t="inlineStr">
        <is>
          <t>GET, POST, PUT/PATCH, DELETE /api/v1/rate-rule-editor; lookup, validation and audit endpoints; idempotency for financial/booking writes</t>
        </is>
      </c>
      <c r="S123" s="12" t="inlineStr">
        <is>
          <t>rate_plans, rate_rules, packages, restrictions, inventory_controls</t>
        </is>
      </c>
      <c r="T123" s="12" t="inlineStr">
        <is>
          <t>Tenant/property scope; required fields; optimistic locking; timezone-safe dates; reason mandatory for overrides; currency precision; tax/rate totals; approval limit; no unbalanced or duplicate posting</t>
        </is>
      </c>
      <c r="U123" s="12" t="inlineStr">
        <is>
          <t>Authorized users can complete the primary rate rule editor workflow; invalid or conflicting actions are blocked with clear messages; saved changes appear in related screens; sensitive changes are auditable.</t>
        </is>
      </c>
      <c r="V123" s="12" t="inlineStr">
        <is>
          <t>RBAC, tenant and property isolation, server-side authorization, audit event for create/update/delete/override</t>
        </is>
      </c>
      <c r="W123" s="12" t="n"/>
      <c r="X123" s="14" t="n"/>
      <c r="Y123" s="14" t="n"/>
      <c r="Z123" s="12" t="n"/>
    </row>
    <row r="124" ht="70" customHeight="1" s="43">
      <c r="A124" s="10" t="n">
        <v>25</v>
      </c>
      <c r="B124" s="11" t="inlineStr">
        <is>
          <t>SCR-120</t>
        </is>
      </c>
      <c r="C124" s="12" t="inlineStr">
        <is>
          <t>Completed</t>
        </is>
      </c>
      <c r="D124" s="12" t="inlineStr">
        <is>
          <t>Distribution</t>
        </is>
      </c>
      <c r="E124" s="12" t="inlineStr">
        <is>
          <t>Channel Integration</t>
        </is>
      </c>
      <c r="F124" s="12" t="inlineStr">
        <is>
          <t>Channel Connection and Mapping</t>
        </is>
      </c>
      <c r="G124" s="12" t="inlineStr">
        <is>
          <t>Enable distribution users to manage channel integration through the Channel Connection and Mapping workflow with real-time status, validations and traceability.</t>
        </is>
      </c>
      <c r="H124"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24" s="12" t="inlineStr">
        <is>
          <t>List, search, filter, view, create, edit, cancel/delete where allowed, export, audit</t>
        </is>
      </c>
      <c r="J124" s="12" t="inlineStr">
        <is>
          <t>Revenue Manager / Channel Manager</t>
        </is>
      </c>
      <c r="K124" s="12" t="inlineStr">
        <is>
          <t>Must Have</t>
        </is>
      </c>
      <c r="L124" s="12" t="inlineStr">
        <is>
          <t>2. Inventory, Rates &amp; Distribution Foundation</t>
        </is>
      </c>
      <c r="M124" s="12" t="inlineStr">
        <is>
          <t>S03-S04</t>
        </is>
      </c>
      <c r="N124" s="12" t="inlineStr">
        <is>
          <t>Not Started</t>
        </is>
      </c>
      <c r="O124" s="13">
        <f>IF(N124="Done",1,IF(N124="QA",0.9,IF(N124="Integration",0.75,IF(N124="Frontend",0.55,IF(N124="Backend",0.35,IF(N124="UX/UI",0.1,0))))))</f>
        <v/>
      </c>
      <c r="P124" s="12" t="inlineStr">
        <is>
          <t>Rates, Rooms, Reservations</t>
        </is>
      </c>
      <c r="Q124" s="12" t="inlineStr">
        <is>
          <t>Responsive desktop/tablet UI; loading, empty, error and permission states; filters; form validation; accessible interactions</t>
        </is>
      </c>
      <c r="R124" s="12" t="inlineStr">
        <is>
          <t>GET, POST, PUT/PATCH, DELETE /api/v1/channel-connection-and-mapping; lookup, validation and audit endpoints; idempotency for financial/booking writes</t>
        </is>
      </c>
      <c r="S124" s="12" t="inlineStr">
        <is>
          <t>channels, channel_mappings, sync_jobs, restrictions</t>
        </is>
      </c>
      <c r="T124" s="12" t="inlineStr">
        <is>
          <t>Tenant/property scope; required fields; optimistic locking; timezone-safe dates; reason mandatory for overrides; valid status transition; linked-record integrity</t>
        </is>
      </c>
      <c r="U124" s="12" t="inlineStr">
        <is>
          <t>Authorized users can complete the primary channel connection and mapping workflow; invalid or conflicting actions are blocked with clear messages; saved changes appear in related screens; sensitive changes are auditable.</t>
        </is>
      </c>
      <c r="V124" s="12" t="inlineStr">
        <is>
          <t>RBAC, tenant and property isolation, server-side authorization, audit event for create/update/delete/override</t>
        </is>
      </c>
      <c r="W124" s="12" t="n"/>
      <c r="X124" s="14" t="n"/>
      <c r="Y124" s="14" t="n"/>
      <c r="Z124" s="12" t="n"/>
    </row>
    <row r="125" ht="70" customHeight="1" s="43">
      <c r="A125" s="10" t="n">
        <v>26</v>
      </c>
      <c r="B125" s="11" t="inlineStr">
        <is>
          <t>SCR-121</t>
        </is>
      </c>
      <c r="C125" s="12" t="inlineStr">
        <is>
          <t>Pending</t>
        </is>
      </c>
      <c r="D125" s="12" t="inlineStr">
        <is>
          <t>Revenue Management</t>
        </is>
      </c>
      <c r="E125" s="12" t="inlineStr">
        <is>
          <t>Restriction Control</t>
        </is>
      </c>
      <c r="F125" s="12" t="inlineStr">
        <is>
          <t>Bulk Restrictions and Stop Sell</t>
        </is>
      </c>
      <c r="G125" s="12" t="inlineStr">
        <is>
          <t>Enable revenue management users to manage restriction control through the Bulk Restrictions and Stop Sell workflow with real-time status, validations and traceability.</t>
        </is>
      </c>
      <c r="H125"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25" s="12" t="inlineStr">
        <is>
          <t>List, search, filter, view, create, edit, cancel/delete where allowed, export, audit</t>
        </is>
      </c>
      <c r="J125" s="12" t="inlineStr">
        <is>
          <t>Revenue Manager / General Manager</t>
        </is>
      </c>
      <c r="K125" s="12" t="inlineStr">
        <is>
          <t>Must Have</t>
        </is>
      </c>
      <c r="L125" s="12" t="inlineStr">
        <is>
          <t>2. Inventory, Rates &amp; Distribution Foundation</t>
        </is>
      </c>
      <c r="M125" s="12" t="inlineStr">
        <is>
          <t>S03-S04</t>
        </is>
      </c>
      <c r="N125" s="12" t="inlineStr">
        <is>
          <t>Not Started</t>
        </is>
      </c>
      <c r="O125" s="13">
        <f>IF(N125="Done",1,IF(N125="QA",0.9,IF(N125="Integration",0.75,IF(N125="Frontend",0.55,IF(N125="Backend",0.35,IF(N125="UX/UI",0.1,0))))))</f>
        <v/>
      </c>
      <c r="P125" s="12" t="inlineStr">
        <is>
          <t>Rooms, Distribution, Reservations</t>
        </is>
      </c>
      <c r="Q125" s="12" t="inlineStr">
        <is>
          <t>Responsive desktop/tablet UI; loading, empty, error and permission states; filters; form validation; accessible interactions</t>
        </is>
      </c>
      <c r="R125" s="12" t="inlineStr">
        <is>
          <t>GET, POST, PUT/PATCH, DELETE /api/v1/bulk-restrictions-and-stop-sell; lookup, validation and audit endpoints; idempotency for financial/booking writes</t>
        </is>
      </c>
      <c r="S125" s="12" t="inlineStr">
        <is>
          <t>rate_plans, rate_rules, packages, restrictions, inventory_controls</t>
        </is>
      </c>
      <c r="T125" s="12" t="inlineStr">
        <is>
          <t>Tenant/property scope; required fields; optimistic locking; timezone-safe dates; reason mandatory for overrides; currency precision; tax/rate totals; approval limit; no unbalanced or duplicate posting</t>
        </is>
      </c>
      <c r="U125" s="12" t="inlineStr">
        <is>
          <t>Authorized users can complete the primary bulk restrictions and stop sell workflow; invalid or conflicting actions are blocked with clear messages; saved changes appear in related screens; sensitive changes are auditable.</t>
        </is>
      </c>
      <c r="V125" s="12" t="inlineStr">
        <is>
          <t>RBAC, tenant and property isolation, server-side authorization, audit event for create/update/delete/override</t>
        </is>
      </c>
      <c r="W125" s="12" t="n"/>
      <c r="X125" s="14" t="n"/>
      <c r="Y125" s="14" t="n"/>
      <c r="Z125" s="12" t="n"/>
    </row>
    <row r="126" ht="70" customHeight="1" s="43">
      <c r="A126" s="10" t="n">
        <v>58</v>
      </c>
      <c r="B126" s="11" t="inlineStr">
        <is>
          <t>SCR-122</t>
        </is>
      </c>
      <c r="C126" s="12" t="inlineStr">
        <is>
          <t>Pending</t>
        </is>
      </c>
      <c r="D126" s="12" t="inlineStr">
        <is>
          <t>Sales &amp; Marketing</t>
        </is>
      </c>
      <c r="E126" s="12" t="inlineStr">
        <is>
          <t>Campaigns</t>
        </is>
      </c>
      <c r="F126" s="12" t="inlineStr">
        <is>
          <t>Guest Campaign Management</t>
        </is>
      </c>
      <c r="G126" s="12" t="inlineStr">
        <is>
          <t>Enable sales &amp; marketing users to manage campaigns through the Guest Campaign Management workflow with real-time status, validations and traceability.</t>
        </is>
      </c>
      <c r="H126"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26" s="12" t="inlineStr">
        <is>
          <t>List, view, create, edit, activate/deactivate, delete where safe, audit</t>
        </is>
      </c>
      <c r="J126" s="12" t="inlineStr">
        <is>
          <t>CRM Manager / Sales / Marketing</t>
        </is>
      </c>
      <c r="K126" s="12" t="inlineStr">
        <is>
          <t>Should Have</t>
        </is>
      </c>
      <c r="L126" s="12" t="inlineStr">
        <is>
          <t>4. Guest CRM, Privacy &amp; Communications</t>
        </is>
      </c>
      <c r="M126" s="12" t="inlineStr">
        <is>
          <t>S08-S09</t>
        </is>
      </c>
      <c r="N126" s="12" t="inlineStr">
        <is>
          <t>Not Started</t>
        </is>
      </c>
      <c r="O126" s="13">
        <f>IF(N126="Done",1,IF(N126="QA",0.9,IF(N126="Integration",0.75,IF(N126="Frontend",0.55,IF(N126="Backend",0.35,IF(N126="UX/UI",0.1,0))))))</f>
        <v/>
      </c>
      <c r="P126" s="12" t="inlineStr">
        <is>
          <t>Guests, Communications</t>
        </is>
      </c>
      <c r="Q126" s="12" t="inlineStr">
        <is>
          <t>Responsive desktop/tablet UI; loading, empty, error and permission states; filters; form validation; accessible interactions</t>
        </is>
      </c>
      <c r="R126" s="12" t="inlineStr">
        <is>
          <t>GET, POST, PUT/PATCH, DELETE /api/v1/guest-campaign-management; lookup, validation and audit endpoints; idempotency for financial/booking writes</t>
        </is>
      </c>
      <c r="S126" s="12" t="inlineStr">
        <is>
          <t>campaigns, segments, journeys, campaign_events</t>
        </is>
      </c>
      <c r="T126" s="12" t="inlineStr">
        <is>
          <t>Tenant/property scope; required fields; optimistic locking; timezone-safe dates; reason mandatory for overrides; valid status transition; linked-record integrity</t>
        </is>
      </c>
      <c r="U126" s="12" t="inlineStr">
        <is>
          <t>Authorized users can complete the primary guest campaign management workflow; invalid or conflicting actions are blocked with clear messages; saved changes appear in related screens; sensitive changes are auditable.</t>
        </is>
      </c>
      <c r="V126" s="12" t="inlineStr">
        <is>
          <t>RBAC, tenant and property isolation, server-side authorization, audit event for create/update/delete/override</t>
        </is>
      </c>
      <c r="W126" s="12" t="n"/>
      <c r="X126" s="14" t="n"/>
      <c r="Y126" s="14" t="n"/>
      <c r="Z126" s="12" t="n"/>
    </row>
    <row r="127" ht="70" customHeight="1" s="43">
      <c r="A127" s="10" t="n">
        <v>13</v>
      </c>
      <c r="B127" s="11" t="inlineStr">
        <is>
          <t>SCR-123</t>
        </is>
      </c>
      <c r="C127" s="12" t="inlineStr">
        <is>
          <t>Pending</t>
        </is>
      </c>
      <c r="D127" s="12" t="inlineStr">
        <is>
          <t>Administration</t>
        </is>
      </c>
      <c r="E127" s="12" t="inlineStr">
        <is>
          <t>Property Master</t>
        </is>
      </c>
      <c r="F127" s="12" t="inlineStr">
        <is>
          <t>Property Master Setup</t>
        </is>
      </c>
      <c r="G127" s="12" t="inlineStr">
        <is>
          <t>Enable administration users to manage property master through the Property Master Setup workflow with real-time status, validations and traceability.</t>
        </is>
      </c>
      <c r="H127"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27" s="12" t="inlineStr">
        <is>
          <t>List, view, create, edit, activate/deactivate, delete where safe, audit</t>
        </is>
      </c>
      <c r="J127" s="12" t="inlineStr">
        <is>
          <t>System Admin / Property Admin / Auditor</t>
        </is>
      </c>
      <c r="K127" s="12" t="inlineStr">
        <is>
          <t>Must Have</t>
        </is>
      </c>
      <c r="L127" s="12" t="inlineStr">
        <is>
          <t>1. Core Platform, Security &amp; Masters</t>
        </is>
      </c>
      <c r="M127" s="12" t="inlineStr">
        <is>
          <t>S01-S02</t>
        </is>
      </c>
      <c r="N127" s="12" t="inlineStr">
        <is>
          <t>Not Started</t>
        </is>
      </c>
      <c r="O127" s="13">
        <f>IF(N127="Done",1,IF(N127="QA",0.9,IF(N127="Integration",0.75,IF(N127="Frontend",0.55,IF(N127="Backend",0.35,IF(N127="UX/UI",0.1,0))))))</f>
        <v/>
      </c>
      <c r="P127" s="12" t="inlineStr">
        <is>
          <t>Platform</t>
        </is>
      </c>
      <c r="Q127" s="12" t="inlineStr">
        <is>
          <t>Responsive desktop/tablet UI; loading, empty, error and permission states; filters; form validation; accessible interactions</t>
        </is>
      </c>
      <c r="R127" s="12" t="inlineStr">
        <is>
          <t>GET, POST, PUT/PATCH, DELETE /api/v1/property-master-setup; lookup, validation and audit endpoints; idempotency for financial/booking writes</t>
        </is>
      </c>
      <c r="S127" s="12" t="inlineStr">
        <is>
          <t>users, roles, permissions, approvals, audit_logs, templates, import_jobs</t>
        </is>
      </c>
      <c r="T127" s="12" t="inlineStr">
        <is>
          <t>Tenant/property scope; required fields; optimistic locking; timezone-safe dates; reason mandatory for overrides; least privilege; secret masking; versioning; change approval</t>
        </is>
      </c>
      <c r="U127" s="12" t="inlineStr">
        <is>
          <t>Authorized users can complete the primary property master setup workflow; invalid or conflicting actions are blocked with clear messages; saved changes appear in related screens; sensitive changes are auditable.</t>
        </is>
      </c>
      <c r="V127" s="12" t="inlineStr">
        <is>
          <t>RBAC, tenant and property isolation, server-side authorization, audit event for create/update/delete/override; field masking and approval/audit evidence required</t>
        </is>
      </c>
      <c r="W127" s="12" t="n"/>
      <c r="X127" s="14" t="n"/>
      <c r="Y127" s="14" t="n"/>
      <c r="Z127" s="12" t="n"/>
    </row>
    <row r="128" ht="70" customHeight="1" s="43">
      <c r="A128" s="10" t="n">
        <v>125</v>
      </c>
      <c r="B128" s="11" t="inlineStr">
        <is>
          <t>SCR-124</t>
        </is>
      </c>
      <c r="C128" s="12" t="inlineStr">
        <is>
          <t>Pending</t>
        </is>
      </c>
      <c r="D128" s="12" t="inlineStr">
        <is>
          <t>Integrations</t>
        </is>
      </c>
      <c r="E128" s="12" t="inlineStr">
        <is>
          <t>Integration Management</t>
        </is>
      </c>
      <c r="F128" s="12" t="inlineStr">
        <is>
          <t>Integration Hub</t>
        </is>
      </c>
      <c r="G128" s="12" t="inlineStr">
        <is>
          <t>Enable integrations users to manage integration management through the Integration Hub workflow with real-time status, validations and traceability.</t>
        </is>
      </c>
      <c r="H12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28" s="12" t="inlineStr">
        <is>
          <t>List, search, filter, view, create, edit, cancel/delete where allowed, export, audit</t>
        </is>
      </c>
      <c r="J128" s="12" t="inlineStr">
        <is>
          <t>Integration Admin / System Admin</t>
        </is>
      </c>
      <c r="K128" s="12" t="inlineStr">
        <is>
          <t>Could Have</t>
        </is>
      </c>
      <c r="L128" s="12" t="inlineStr">
        <is>
          <t>11. Portals, Integrations &amp; AI</t>
        </is>
      </c>
      <c r="M128" s="12" t="inlineStr">
        <is>
          <t>S23-S25</t>
        </is>
      </c>
      <c r="N128" s="12" t="inlineStr">
        <is>
          <t>Not Started</t>
        </is>
      </c>
      <c r="O128" s="13">
        <f>IF(N128="Done",1,IF(N128="QA",0.9,IF(N128="Integration",0.75,IF(N128="Frontend",0.55,IF(N128="Backend",0.35,IF(N128="UX/UI",0.1,0))))))</f>
        <v/>
      </c>
      <c r="P128" s="12" t="inlineStr">
        <is>
          <t>All connected services</t>
        </is>
      </c>
      <c r="Q128" s="12" t="inlineStr">
        <is>
          <t>Responsive desktop/tablet UI; loading, empty, error and permission states; filters; form validation; accessible interactions</t>
        </is>
      </c>
      <c r="R128" s="12" t="inlineStr">
        <is>
          <t>GET, POST, PUT/PATCH, DELETE /api/v1/integration-hub; lookup, validation and audit endpoints; idempotency for financial/booking writes</t>
        </is>
      </c>
      <c r="S128" s="12" t="inlineStr">
        <is>
          <t>integrations, credentials, webhooks, sync_jobs</t>
        </is>
      </c>
      <c r="T128" s="12" t="inlineStr">
        <is>
          <t>Tenant/property scope; required fields; optimistic locking; timezone-safe dates; reason mandatory for overrides; least privilege; secret masking; versioning; change approval</t>
        </is>
      </c>
      <c r="U128" s="12" t="inlineStr">
        <is>
          <t>Authorized users can complete the primary integration hub workflow; invalid or conflicting actions are blocked with clear messages; saved changes appear in related screens; sensitive changes are auditable.</t>
        </is>
      </c>
      <c r="V128" s="12" t="inlineStr">
        <is>
          <t>RBAC, tenant and property isolation, server-side authorization, audit event for create/update/delete/override; field masking and approval/audit evidence required</t>
        </is>
      </c>
      <c r="W128" s="12" t="n"/>
      <c r="X128" s="14" t="n"/>
      <c r="Y128" s="14" t="n"/>
      <c r="Z128" s="12" t="n"/>
    </row>
    <row r="129" ht="70" customHeight="1" s="43">
      <c r="A129" s="10" t="n">
        <v>14</v>
      </c>
      <c r="B129" s="11" t="inlineStr">
        <is>
          <t>SCR-125</t>
        </is>
      </c>
      <c r="C129" s="12" t="inlineStr">
        <is>
          <t>Pending</t>
        </is>
      </c>
      <c r="D129" s="12" t="inlineStr">
        <is>
          <t>Administration</t>
        </is>
      </c>
      <c r="E129" s="12" t="inlineStr">
        <is>
          <t>Notification Setup</t>
        </is>
      </c>
      <c r="F129" s="12" t="inlineStr">
        <is>
          <t>Notification Template Management</t>
        </is>
      </c>
      <c r="G129" s="12" t="inlineStr">
        <is>
          <t>Enable administration users to manage notification setup through the Notification Template Management workflow with real-time status, validations and traceability.</t>
        </is>
      </c>
      <c r="H129"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29" s="12" t="inlineStr">
        <is>
          <t>List, view, create, edit, activate/deactivate, delete where safe, audit</t>
        </is>
      </c>
      <c r="J129" s="12" t="inlineStr">
        <is>
          <t>System Admin / Property Admin / Auditor</t>
        </is>
      </c>
      <c r="K129" s="12" t="inlineStr">
        <is>
          <t>Must Have</t>
        </is>
      </c>
      <c r="L129" s="12" t="inlineStr">
        <is>
          <t>1. Core Platform, Security &amp; Masters</t>
        </is>
      </c>
      <c r="M129" s="12" t="inlineStr">
        <is>
          <t>S01-S02</t>
        </is>
      </c>
      <c r="N129" s="12" t="inlineStr">
        <is>
          <t>Not Started</t>
        </is>
      </c>
      <c r="O129" s="13">
        <f>IF(N129="Done",1,IF(N129="QA",0.9,IF(N129="Integration",0.75,IF(N129="Frontend",0.55,IF(N129="Backend",0.35,IF(N129="UX/UI",0.1,0))))))</f>
        <v/>
      </c>
      <c r="P129" s="12" t="inlineStr">
        <is>
          <t>Platform</t>
        </is>
      </c>
      <c r="Q129" s="12" t="inlineStr">
        <is>
          <t>Responsive desktop/tablet UI; loading, empty, error and permission states; filters; form validation; accessible interactions</t>
        </is>
      </c>
      <c r="R129" s="12" t="inlineStr">
        <is>
          <t>GET, POST, PUT/PATCH, DELETE /api/v1/notification-template-management; lookup, validation and audit endpoints; idempotency for financial/booking writes</t>
        </is>
      </c>
      <c r="S129" s="12" t="inlineStr">
        <is>
          <t>users, roles, permissions, approvals, audit_logs, templates, import_jobs</t>
        </is>
      </c>
      <c r="T129" s="12" t="inlineStr">
        <is>
          <t>Tenant/property scope; required fields; optimistic locking; timezone-safe dates; reason mandatory for overrides; least privilege; secret masking; versioning; change approval</t>
        </is>
      </c>
      <c r="U129" s="12" t="inlineStr">
        <is>
          <t>Authorized users can complete the primary notification template management workflow; invalid or conflicting actions are blocked with clear messages; saved changes appear in related screens; sensitive changes are auditable.</t>
        </is>
      </c>
      <c r="V129" s="12" t="inlineStr">
        <is>
          <t>RBAC, tenant and property isolation, server-side authorization, audit event for create/update/delete/override; field masking and approval/audit evidence required</t>
        </is>
      </c>
      <c r="W129" s="12" t="n"/>
      <c r="X129" s="14" t="n"/>
      <c r="Y129" s="14" t="n"/>
      <c r="Z129" s="12" t="n"/>
    </row>
    <row r="130" ht="70" customHeight="1" s="43">
      <c r="A130" s="10" t="n">
        <v>15</v>
      </c>
      <c r="B130" s="11" t="inlineStr">
        <is>
          <t>SCR-126</t>
        </is>
      </c>
      <c r="C130" s="12" t="inlineStr">
        <is>
          <t>Pending</t>
        </is>
      </c>
      <c r="D130" s="12" t="inlineStr">
        <is>
          <t>Administration</t>
        </is>
      </c>
      <c r="E130" s="12" t="inlineStr">
        <is>
          <t>Data Operations</t>
        </is>
      </c>
      <c r="F130" s="12" t="inlineStr">
        <is>
          <t>Data Import and Export Center</t>
        </is>
      </c>
      <c r="G130" s="12" t="inlineStr">
        <is>
          <t>Enable administration users to manage data operations through the Data Import and Export Center workflow with real-time status, validations and traceability.</t>
        </is>
      </c>
      <c r="H13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30" s="12" t="inlineStr">
        <is>
          <t>List, search, filter, view, create, edit, cancel/delete where allowed, export, audit</t>
        </is>
      </c>
      <c r="J130" s="12" t="inlineStr">
        <is>
          <t>System Admin / Property Admin / Auditor</t>
        </is>
      </c>
      <c r="K130" s="12" t="inlineStr">
        <is>
          <t>Must Have</t>
        </is>
      </c>
      <c r="L130" s="12" t="inlineStr">
        <is>
          <t>1. Core Platform, Security &amp; Masters</t>
        </is>
      </c>
      <c r="M130" s="12" t="inlineStr">
        <is>
          <t>S01-S02</t>
        </is>
      </c>
      <c r="N130" s="12" t="inlineStr">
        <is>
          <t>Not Started</t>
        </is>
      </c>
      <c r="O130" s="13">
        <f>IF(N130="Done",1,IF(N130="QA",0.9,IF(N130="Integration",0.75,IF(N130="Frontend",0.55,IF(N130="Backend",0.35,IF(N130="UX/UI",0.1,0))))))</f>
        <v/>
      </c>
      <c r="P130" s="12" t="inlineStr">
        <is>
          <t>Platform</t>
        </is>
      </c>
      <c r="Q130" s="12" t="inlineStr">
        <is>
          <t>Responsive desktop/tablet UI; loading, empty, error and permission states; filters; form validation; accessible interactions</t>
        </is>
      </c>
      <c r="R130" s="12" t="inlineStr">
        <is>
          <t>GET, POST, PUT/PATCH, DELETE /api/v1/data-import-and-export-center; lookup, validation and audit endpoints; idempotency for financial/booking writes</t>
        </is>
      </c>
      <c r="S130" s="12" t="inlineStr">
        <is>
          <t>users, roles, permissions, approvals, audit_logs, templates, import_jobs</t>
        </is>
      </c>
      <c r="T130" s="12" t="inlineStr">
        <is>
          <t>Tenant/property scope; required fields; optimistic locking; timezone-safe dates; reason mandatory for overrides; least privilege; secret masking; versioning; change approval</t>
        </is>
      </c>
      <c r="U130" s="12" t="inlineStr">
        <is>
          <t>Authorized users can complete the primary data import and export center workflow; invalid or conflicting actions are blocked with clear messages; saved changes appear in related screens; sensitive changes are auditable.</t>
        </is>
      </c>
      <c r="V130" s="12" t="inlineStr">
        <is>
          <t>RBAC, tenant and property isolation, server-side authorization, audit event for create/update/delete/override; field masking and approval/audit evidence required</t>
        </is>
      </c>
      <c r="W130" s="12" t="n"/>
      <c r="X130" s="14" t="n"/>
      <c r="Y130" s="14" t="n"/>
      <c r="Z130" s="12" t="n"/>
    </row>
    <row r="131" ht="70" customHeight="1" s="43">
      <c r="A131" s="10" t="n">
        <v>126</v>
      </c>
      <c r="B131" s="11" t="inlineStr">
        <is>
          <t>SCR-127</t>
        </is>
      </c>
      <c r="C131" s="12" t="inlineStr">
        <is>
          <t>Pending</t>
        </is>
      </c>
      <c r="D131" s="12" t="inlineStr">
        <is>
          <t>AI &amp; Automation</t>
        </is>
      </c>
      <c r="E131" s="12" t="inlineStr">
        <is>
          <t>Agent Design</t>
        </is>
      </c>
      <c r="F131" s="12" t="inlineStr">
        <is>
          <t>AI Agent Builder</t>
        </is>
      </c>
      <c r="G131" s="12" t="inlineStr">
        <is>
          <t>Enable ai &amp; automation users to manage agent design through the AI Agent Builder workflow with real-time status, validations and traceability.</t>
        </is>
      </c>
      <c r="H13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31" s="12" t="inlineStr">
        <is>
          <t>List, search, filter, view, create, edit, cancel/delete where allowed, export, audit</t>
        </is>
      </c>
      <c r="J131" s="12" t="inlineStr">
        <is>
          <t>AI Admin / System Admin / Supervisor</t>
        </is>
      </c>
      <c r="K131" s="12" t="inlineStr">
        <is>
          <t>Could Have</t>
        </is>
      </c>
      <c r="L131" s="12" t="inlineStr">
        <is>
          <t>11. Portals, Integrations &amp; AI</t>
        </is>
      </c>
      <c r="M131" s="12" t="inlineStr">
        <is>
          <t>S23-S25</t>
        </is>
      </c>
      <c r="N131" s="12" t="inlineStr">
        <is>
          <t>Not Started</t>
        </is>
      </c>
      <c r="O131" s="13">
        <f>IF(N131="Done",1,IF(N131="QA",0.9,IF(N131="Integration",0.75,IF(N131="Frontend",0.55,IF(N131="Backend",0.35,IF(N131="UX/UI",0.1,0))))))</f>
        <v/>
      </c>
      <c r="P131" s="12" t="inlineStr">
        <is>
          <t>Integrations, Communications, PMS APIs</t>
        </is>
      </c>
      <c r="Q131" s="12" t="inlineStr">
        <is>
          <t>Responsive desktop/tablet UI; loading, empty, error and permission states; filters; form validation; accessible interactions</t>
        </is>
      </c>
      <c r="R131" s="12" t="inlineStr">
        <is>
          <t>GET, POST, PUT/PATCH, DELETE /api/v1/ai-agent-builder; lookup, validation and audit endpoints; idempotency for financial/booking writes</t>
        </is>
      </c>
      <c r="S131" s="12" t="inlineStr">
        <is>
          <t>ai_agents, prompts, knowledge_documents, tool_policies, call_transcripts</t>
        </is>
      </c>
      <c r="T131" s="12" t="inlineStr">
        <is>
          <t>Tenant/property scope; required fields; optimistic locking; timezone-safe dates; reason mandatory for overrides; least privilege; secret masking; versioning; change approval</t>
        </is>
      </c>
      <c r="U131" s="12" t="inlineStr">
        <is>
          <t>Authorized users can complete the primary ai agent builder workflow; invalid or conflicting actions are blocked with clear messages; saved changes appear in related screens; sensitive changes are auditable.</t>
        </is>
      </c>
      <c r="V131" s="12" t="inlineStr">
        <is>
          <t>RBAC, tenant and property isolation, server-side authorization, audit event for create/update/delete/override; field masking and approval/audit evidence required</t>
        </is>
      </c>
      <c r="W131" s="12" t="n"/>
      <c r="X131" s="14" t="n"/>
      <c r="Y131" s="14" t="n"/>
      <c r="Z131" s="12" t="n"/>
    </row>
    <row r="132" ht="70" customHeight="1" s="43">
      <c r="A132" s="10" t="n">
        <v>127</v>
      </c>
      <c r="B132" s="11" t="inlineStr">
        <is>
          <t>SCR-128</t>
        </is>
      </c>
      <c r="C132" s="12" t="inlineStr">
        <is>
          <t>Pending</t>
        </is>
      </c>
      <c r="D132" s="12" t="inlineStr">
        <is>
          <t>AI &amp; Automation</t>
        </is>
      </c>
      <c r="E132" s="12" t="inlineStr">
        <is>
          <t>Agent Testing</t>
        </is>
      </c>
      <c r="F132" s="12" t="inlineStr">
        <is>
          <t>AI Test Call and Transcript</t>
        </is>
      </c>
      <c r="G132" s="12" t="inlineStr">
        <is>
          <t>Enable ai &amp; automation users to manage agent testing through the AI Test Call and Transcript workflow with real-time status, validations and traceability.</t>
        </is>
      </c>
      <c r="H13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32" s="12" t="inlineStr">
        <is>
          <t>List, search, filter, view, create, edit, cancel/delete where allowed, export, audit</t>
        </is>
      </c>
      <c r="J132" s="12" t="inlineStr">
        <is>
          <t>AI Admin / System Admin / Supervisor</t>
        </is>
      </c>
      <c r="K132" s="12" t="inlineStr">
        <is>
          <t>Could Have</t>
        </is>
      </c>
      <c r="L132" s="12" t="inlineStr">
        <is>
          <t>11. Portals, Integrations &amp; AI</t>
        </is>
      </c>
      <c r="M132" s="12" t="inlineStr">
        <is>
          <t>S23-S25</t>
        </is>
      </c>
      <c r="N132" s="12" t="inlineStr">
        <is>
          <t>Not Started</t>
        </is>
      </c>
      <c r="O132" s="13">
        <f>IF(N132="Done",1,IF(N132="QA",0.9,IF(N132="Integration",0.75,IF(N132="Frontend",0.55,IF(N132="Backend",0.35,IF(N132="UX/UI",0.1,0))))))</f>
        <v/>
      </c>
      <c r="P132" s="12" t="inlineStr">
        <is>
          <t>Integrations, Communications, PMS APIs</t>
        </is>
      </c>
      <c r="Q132" s="12" t="inlineStr">
        <is>
          <t>Responsive desktop/tablet UI; loading, empty, error and permission states; filters; form validation; accessible interactions</t>
        </is>
      </c>
      <c r="R132" s="12" t="inlineStr">
        <is>
          <t>GET, POST, PUT/PATCH, DELETE /api/v1/ai-test-call-and-transcript; lookup, validation and audit endpoints; idempotency for financial/booking writes</t>
        </is>
      </c>
      <c r="S132" s="12" t="inlineStr">
        <is>
          <t>ai_agents, prompts, knowledge_documents, tool_policies, call_transcripts</t>
        </is>
      </c>
      <c r="T132" s="12" t="inlineStr">
        <is>
          <t>Tenant/property scope; required fields; optimistic locking; timezone-safe dates; reason mandatory for overrides; least privilege; secret masking; versioning; change approval</t>
        </is>
      </c>
      <c r="U132" s="12" t="inlineStr">
        <is>
          <t>Authorized users can complete the primary ai test call and transcript workflow; invalid or conflicting actions are blocked with clear messages; saved changes appear in related screens; sensitive changes are auditable.</t>
        </is>
      </c>
      <c r="V132" s="12" t="inlineStr">
        <is>
          <t>RBAC, tenant and property isolation, server-side authorization, audit event for create/update/delete/override; field masking and approval/audit evidence required</t>
        </is>
      </c>
      <c r="W132" s="12" t="n"/>
      <c r="X132" s="14" t="n"/>
      <c r="Y132" s="14" t="n"/>
      <c r="Z132" s="12" t="n"/>
    </row>
    <row r="133" ht="70" customHeight="1" s="43">
      <c r="A133" s="10" t="n">
        <v>128</v>
      </c>
      <c r="B133" s="11" t="inlineStr">
        <is>
          <t>SCR-129</t>
        </is>
      </c>
      <c r="C133" s="12" t="inlineStr">
        <is>
          <t>Pending</t>
        </is>
      </c>
      <c r="D133" s="12" t="inlineStr">
        <is>
          <t>AI &amp; Automation</t>
        </is>
      </c>
      <c r="E133" s="12" t="inlineStr">
        <is>
          <t>Knowledge Management</t>
        </is>
      </c>
      <c r="F133" s="12" t="inlineStr">
        <is>
          <t>AI Knowledge Document Manager</t>
        </is>
      </c>
      <c r="G133" s="12" t="inlineStr">
        <is>
          <t>Enable ai &amp; automation users to manage knowledge management through the AI Knowledge Document Manager workflow with real-time status, validations and traceability.</t>
        </is>
      </c>
      <c r="H13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33" s="12" t="inlineStr">
        <is>
          <t>List, search, filter, view, create, edit, cancel/delete where allowed, export, audit</t>
        </is>
      </c>
      <c r="J133" s="12" t="inlineStr">
        <is>
          <t>AI Admin / System Admin / Supervisor</t>
        </is>
      </c>
      <c r="K133" s="12" t="inlineStr">
        <is>
          <t>Could Have</t>
        </is>
      </c>
      <c r="L133" s="12" t="inlineStr">
        <is>
          <t>11. Portals, Integrations &amp; AI</t>
        </is>
      </c>
      <c r="M133" s="12" t="inlineStr">
        <is>
          <t>S23-S25</t>
        </is>
      </c>
      <c r="N133" s="12" t="inlineStr">
        <is>
          <t>Not Started</t>
        </is>
      </c>
      <c r="O133" s="13">
        <f>IF(N133="Done",1,IF(N133="QA",0.9,IF(N133="Integration",0.75,IF(N133="Frontend",0.55,IF(N133="Backend",0.35,IF(N133="UX/UI",0.1,0))))))</f>
        <v/>
      </c>
      <c r="P133" s="12" t="inlineStr">
        <is>
          <t>Integrations, Communications, PMS APIs</t>
        </is>
      </c>
      <c r="Q133" s="12" t="inlineStr">
        <is>
          <t>Responsive desktop/tablet UI; loading, empty, error and permission states; filters; form validation; accessible interactions</t>
        </is>
      </c>
      <c r="R133" s="12" t="inlineStr">
        <is>
          <t>GET, POST, PUT/PATCH, DELETE /api/v1/ai-knowledge-document-manager; lookup, validation and audit endpoints; idempotency for financial/booking writes</t>
        </is>
      </c>
      <c r="S133" s="12" t="inlineStr">
        <is>
          <t>ai_agents, prompts, knowledge_documents, tool_policies, call_transcripts</t>
        </is>
      </c>
      <c r="T133" s="12" t="inlineStr">
        <is>
          <t>Tenant/property scope; required fields; optimistic locking; timezone-safe dates; reason mandatory for overrides; least privilege; secret masking; versioning; change approval</t>
        </is>
      </c>
      <c r="U133" s="12" t="inlineStr">
        <is>
          <t>Authorized users can complete the primary ai knowledge document manager workflow; invalid or conflicting actions are blocked with clear messages; saved changes appear in related screens; sensitive changes are auditable.</t>
        </is>
      </c>
      <c r="V133" s="12" t="inlineStr">
        <is>
          <t>RBAC, tenant and property isolation, server-side authorization, audit event for create/update/delete/override; field masking and approval/audit evidence required</t>
        </is>
      </c>
      <c r="W133" s="12" t="n"/>
      <c r="X133" s="14" t="n"/>
      <c r="Y133" s="14" t="n"/>
      <c r="Z133" s="12" t="n"/>
    </row>
    <row r="134" ht="70" customHeight="1" s="43">
      <c r="A134" s="15" t="n">
        <v>129</v>
      </c>
      <c r="B134" s="16" t="inlineStr">
        <is>
          <t>SCR-130</t>
        </is>
      </c>
      <c r="C134" s="17" t="inlineStr">
        <is>
          <t>Pending</t>
        </is>
      </c>
      <c r="D134" s="17" t="inlineStr">
        <is>
          <t>Partner Portal</t>
        </is>
      </c>
      <c r="E134" s="17" t="inlineStr">
        <is>
          <t>Portal Operations</t>
        </is>
      </c>
      <c r="F134" s="17" t="inlineStr">
        <is>
          <t>Portal Booking Management</t>
        </is>
      </c>
      <c r="G134" s="17" t="inlineStr">
        <is>
          <t>Enable partner portal users to manage portal operations through the Portal Booking Management workflow with real-time status, validations and traceability.</t>
        </is>
      </c>
      <c r="H134" s="17"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34" s="17" t="inlineStr">
        <is>
          <t>List, view, create, edit, activate/deactivate, delete where safe, audit</t>
        </is>
      </c>
      <c r="J134" s="17" t="inlineStr">
        <is>
          <t>Travel Agent / Corporate Booker / Sales</t>
        </is>
      </c>
      <c r="K134" s="17" t="inlineStr">
        <is>
          <t>Could Have</t>
        </is>
      </c>
      <c r="L134" s="17" t="inlineStr">
        <is>
          <t>11. Portals, Integrations &amp; AI</t>
        </is>
      </c>
      <c r="M134" s="17" t="inlineStr">
        <is>
          <t>S23-S25</t>
        </is>
      </c>
      <c r="N134" s="17" t="inlineStr">
        <is>
          <t>Not Started</t>
        </is>
      </c>
      <c r="O134" s="18">
        <f>IF(N134="Done",1,IF(N134="QA",0.9,IF(N134="Integration",0.75,IF(N134="Frontend",0.55,IF(N134="Backend",0.35,IF(N134="UX/UI",0.1,0))))))</f>
        <v/>
      </c>
      <c r="P134" s="17" t="inlineStr">
        <is>
          <t>Reservations, Rates, Finance</t>
        </is>
      </c>
      <c r="Q134" s="17" t="inlineStr">
        <is>
          <t>Responsive desktop/tablet UI; loading, empty, error and permission states; filters; form validation; accessible interactions</t>
        </is>
      </c>
      <c r="R134" s="17" t="inlineStr">
        <is>
          <t>GET, POST, PUT/PATCH, DELETE /api/v1/portal-booking-management; lookup, validation and audit endpoints; idempotency for financial/booking writes</t>
        </is>
      </c>
      <c r="S134" s="17" t="inlineStr">
        <is>
          <t>partner_accounts, portal_bookings, commissions</t>
        </is>
      </c>
      <c r="T134" s="17" t="inlineStr">
        <is>
          <t>Tenant/property scope; required fields; optimistic locking; timezone-safe dates; reason mandatory for overrides; valid status transition; linked-record integrity</t>
        </is>
      </c>
      <c r="U134" s="17" t="inlineStr">
        <is>
          <t>Authorized users can complete the primary portal booking management workflow; invalid or conflicting actions are blocked with clear messages; saved changes appear in related screens; sensitive changes are auditable.</t>
        </is>
      </c>
      <c r="V134" s="17" t="inlineStr">
        <is>
          <t>RBAC, tenant and property isolation, server-side authorization, audit event for create/update/delete/override</t>
        </is>
      </c>
      <c r="W134" s="17" t="n"/>
      <c r="X134" s="19" t="n"/>
      <c r="Y134" s="19" t="n"/>
      <c r="Z134" s="17" t="n"/>
    </row>
  </sheetData>
  <mergeCells count="2">
    <mergeCell ref="A1:Z1"/>
    <mergeCell ref="A2:Z2"/>
  </mergeCells>
  <conditionalFormatting sqref="N5:N134">
    <cfRule type="containsText" priority="1" operator="containsText" dxfId="5" text="Done"/>
    <cfRule type="containsText" priority="2" operator="containsText" dxfId="4" text="Blocked"/>
    <cfRule type="containsText" priority="3" operator="containsText" dxfId="3" text="In Progress"/>
  </conditionalFormatting>
  <conditionalFormatting sqref="C5:C134">
    <cfRule type="containsText" priority="4" operator="containsText" dxfId="11" text="Pending"/>
  </conditionalFormatting>
  <conditionalFormatting sqref="O5:O134">
    <cfRule type="dataBar" priority="5">
      <dataBar>
        <cfvo type="min"/>
        <cfvo type="max"/>
        <color rgb="FF009688"/>
      </dataBar>
    </cfRule>
    <cfRule type="dataBar" priority="6">
      <dataBar>
        <cfvo type="min"/>
        <cfvo type="max"/>
        <color rgb="FF009688"/>
      </dataBar>
    </cfRule>
  </conditionalFormatting>
  <dataValidations count="3">
    <dataValidation sqref="C5:C134" showDropDown="0" showInputMessage="0" showErrorMessage="0" allowBlank="0" type="list">
      <formula1>"Completed,Pending"</formula1>
    </dataValidation>
    <dataValidation sqref="K5:K134" showDropDown="0" showInputMessage="0" showErrorMessage="0" allowBlank="0" type="list">
      <formula1>"Must Have,Should Have,Could Have,Won't Have Now"</formula1>
    </dataValidation>
    <dataValidation sqref="N5:N134" showDropDown="0" showInputMessage="0" showErrorMessage="0" allowBlank="0" type="list">
      <formula1>"Not Started,UX/UI,Backend,Frontend,Integration,QA,Blocked,Done"</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M16"/>
  <sheetViews>
    <sheetView showGridLines="0" workbookViewId="0">
      <selection activeCell="A1" sqref="A1"/>
    </sheetView>
  </sheetViews>
  <sheetFormatPr baseColWidth="8" defaultRowHeight="14"/>
  <cols>
    <col width="8" customWidth="1" style="43" min="1" max="1"/>
    <col width="34" customWidth="1" style="43" min="2" max="2"/>
    <col width="12" customWidth="1" style="43" min="3" max="3"/>
    <col width="13" customWidth="1" style="43" min="4" max="5"/>
    <col width="12" customWidth="1" style="43" min="6" max="6"/>
    <col width="11" customWidth="1" style="43" min="7" max="7"/>
    <col width="55" customWidth="1" style="43" min="8" max="8"/>
    <col width="40" customWidth="1" style="43" min="9" max="9"/>
    <col width="48" customWidth="1" style="43" min="10" max="10"/>
    <col width="52" customWidth="1" style="43" min="11" max="11"/>
    <col width="15" customWidth="1" style="43" min="12" max="12"/>
    <col width="11" customWidth="1" style="43" min="13" max="13"/>
  </cols>
  <sheetData>
    <row r="1" ht="30" customHeight="1" s="43">
      <c r="A1" s="50" t="inlineStr">
        <is>
          <t>Sequence-Wise Development Plan</t>
        </is>
      </c>
    </row>
    <row r="2">
      <c r="A2" s="42" t="inlineStr">
        <is>
          <t>Suggested baseline: 1 product owner, 1 UX/UI, 2 frontend, 2 backend, 1 QA, shared DevOps. Dates may be changed after team capacity is confirmed.</t>
        </is>
      </c>
    </row>
    <row r="4" ht="28" customHeight="1" s="43">
      <c r="A4" s="1" t="inlineStr">
        <is>
          <t>Phase</t>
        </is>
      </c>
      <c r="B4" s="2" t="inlineStr">
        <is>
          <t>Phase Name</t>
        </is>
      </c>
      <c r="C4" s="2" t="inlineStr">
        <is>
          <t>Sprint(s)</t>
        </is>
      </c>
      <c r="D4" s="2" t="inlineStr">
        <is>
          <t>Planned Start</t>
        </is>
      </c>
      <c r="E4" s="2" t="inlineStr">
        <is>
          <t>Planned End</t>
        </is>
      </c>
      <c r="F4" s="2" t="inlineStr">
        <is>
          <t>Duration (Weeks)</t>
        </is>
      </c>
      <c r="G4" s="2" t="inlineStr">
        <is>
          <t>Screen Count</t>
        </is>
      </c>
      <c r="H4" s="2" t="inlineStr">
        <is>
          <t>Screen IDs</t>
        </is>
      </c>
      <c r="I4" s="2" t="inlineStr">
        <is>
          <t>Prerequisite</t>
        </is>
      </c>
      <c r="J4" s="2" t="inlineStr">
        <is>
          <t>Main Deliverables</t>
        </is>
      </c>
      <c r="K4" s="2" t="inlineStr">
        <is>
          <t>Exit Criteria</t>
        </is>
      </c>
      <c r="L4" s="2" t="inlineStr">
        <is>
          <t>Phase Status</t>
        </is>
      </c>
      <c r="M4" s="3" t="inlineStr">
        <is>
          <t>Progress %</t>
        </is>
      </c>
    </row>
    <row r="5" ht="42" customHeight="1" s="43">
      <c r="A5" s="4" t="n">
        <v>1</v>
      </c>
      <c r="B5" s="4" t="inlineStr">
        <is>
          <t>Core Platform, Security &amp; Masters</t>
        </is>
      </c>
      <c r="C5" s="4" t="inlineStr">
        <is>
          <t>S01-S02</t>
        </is>
      </c>
      <c r="D5" s="7" t="n">
        <v>46272</v>
      </c>
      <c r="E5" s="7" t="n">
        <v>46299</v>
      </c>
      <c r="F5" s="4" t="n">
        <v>4</v>
      </c>
      <c r="G5" s="4" t="n">
        <v>15</v>
      </c>
      <c r="H5" s="4" t="inlineStr">
        <is>
          <t>SCR-026, SCR-039, SCR-040, SCR-041, SCR-042, SCR-043, SCR-059, SCR-060, SCR-061, SCR-062, SCR-063, SCR-064, SCR-123, SCR-125, SCR-126</t>
        </is>
      </c>
      <c r="I5" s="4" t="inlineStr">
        <is>
          <t>Approved architecture, environments and design system</t>
        </is>
      </c>
      <c r="J5" s="4" t="inlineStr">
        <is>
          <t>Implement, integrate and test core platform, security &amp; masters screens, APIs, entities, permissions, audit events and reports.</t>
        </is>
      </c>
      <c r="K5" s="4" t="inlineStr">
        <is>
          <t>Tenant-safe authentication, RBAC, audit and property masters pass integration tests</t>
        </is>
      </c>
      <c r="L5" s="4" t="inlineStr">
        <is>
          <t>Not Started</t>
        </is>
      </c>
      <c r="M5" s="5">
        <f>IF(L5="Done",1,IF(L5="QA",0.9,IF(L5="Integration",0.75,IF(L5="Frontend",0.55,IF(L5="Backend",0.35,IF(L5="UX/UI",0.1,0))))))</f>
        <v/>
      </c>
    </row>
    <row r="6" ht="42" customHeight="1" s="43">
      <c r="A6" s="4" t="n">
        <v>2</v>
      </c>
      <c r="B6" s="4" t="inlineStr">
        <is>
          <t>Inventory, Rates &amp; Distribution Foundation</t>
        </is>
      </c>
      <c r="C6" s="4" t="inlineStr">
        <is>
          <t>S03-S04</t>
        </is>
      </c>
      <c r="D6" s="7" t="n">
        <v>46300</v>
      </c>
      <c r="E6" s="7" t="n">
        <v>46327</v>
      </c>
      <c r="F6" s="4" t="n">
        <v>4</v>
      </c>
      <c r="G6" s="4" t="n">
        <v>11</v>
      </c>
      <c r="H6" s="4" t="inlineStr">
        <is>
          <t>SCR-008, SCR-011, SCR-024, SCR-033, SCR-034, SCR-035, SCR-058, SCR-118, SCR-119, SCR-120, SCR-121</t>
        </is>
      </c>
      <c r="I6" s="4" t="inlineStr">
        <is>
          <t>Phase 1 property and permission masters</t>
        </is>
      </c>
      <c r="J6" s="4" t="inlineStr">
        <is>
          <t>Implement, integrate and test inventory, rates &amp; distribution foundation screens, APIs, entities, permissions, audit events and reports.</t>
        </is>
      </c>
      <c r="K6" s="4" t="inlineStr">
        <is>
          <t>Sellable inventory, rate calculations and restriction rules reconcile</t>
        </is>
      </c>
      <c r="L6" s="4" t="inlineStr">
        <is>
          <t>Not Started</t>
        </is>
      </c>
      <c r="M6" s="5">
        <f>IF(L6="Done",1,IF(L6="QA",0.9,IF(L6="Integration",0.75,IF(L6="Frontend",0.55,IF(L6="Backend",0.35,IF(L6="UX/UI",0.1,0))))))</f>
        <v/>
      </c>
    </row>
    <row r="7" ht="56" customHeight="1" s="43">
      <c r="A7" s="4" t="n">
        <v>3</v>
      </c>
      <c r="B7" s="4" t="inlineStr">
        <is>
          <t>Reservations, Groups &amp; Front Desk</t>
        </is>
      </c>
      <c r="C7" s="4" t="inlineStr">
        <is>
          <t>S05-S07</t>
        </is>
      </c>
      <c r="D7" s="7" t="n">
        <v>46328</v>
      </c>
      <c r="E7" s="7" t="n">
        <v>46369</v>
      </c>
      <c r="F7" s="4" t="n">
        <v>6</v>
      </c>
      <c r="G7" s="4" t="n">
        <v>21</v>
      </c>
      <c r="H7" s="4" t="inlineStr">
        <is>
          <t>SCR-002, SCR-003, SCR-004, SCR-005, SCR-007, SCR-028, SCR-029, SCR-030, SCR-031, SCR-032, SCR-051, SCR-052, SCR-053, SCR-054, SCR-055, SCR-056, SCR-057, SCR-114, SCR-115, SCR-116, SCR-117</t>
        </is>
      </c>
      <c r="I7" s="4" t="inlineStr">
        <is>
          <t>Availability, rates, taxes and room masters</t>
        </is>
      </c>
      <c r="J7" s="4" t="inlineStr">
        <is>
          <t>Implement, integrate and test reservations, groups &amp; front desk screens, APIs, entities, permissions, audit events and reports.</t>
        </is>
      </c>
      <c r="K7" s="4" t="inlineStr">
        <is>
          <t>End-to-end book, modify, arrive, in-stay, settle and depart flow passes</t>
        </is>
      </c>
      <c r="L7" s="4" t="inlineStr">
        <is>
          <t>Not Started</t>
        </is>
      </c>
      <c r="M7" s="5">
        <f>IF(L7="Done",1,IF(L7="QA",0.9,IF(L7="Integration",0.75,IF(L7="Frontend",0.55,IF(L7="Backend",0.35,IF(L7="UX/UI",0.1,0))))))</f>
        <v/>
      </c>
    </row>
    <row r="8" ht="42" customHeight="1" s="43">
      <c r="A8" s="4" t="n">
        <v>4</v>
      </c>
      <c r="B8" s="4" t="inlineStr">
        <is>
          <t>Guest CRM, Privacy &amp; Communications</t>
        </is>
      </c>
      <c r="C8" s="4" t="inlineStr">
        <is>
          <t>S08-S09</t>
        </is>
      </c>
      <c r="D8" s="7" t="n">
        <v>46370</v>
      </c>
      <c r="E8" s="7" t="n">
        <v>46397</v>
      </c>
      <c r="F8" s="4" t="n">
        <v>4</v>
      </c>
      <c r="G8" s="4" t="n">
        <v>11</v>
      </c>
      <c r="H8" s="4" t="inlineStr">
        <is>
          <t>SCR-009, SCR-010, SCR-025, SCR-047, SCR-065, SCR-066, SCR-067, SCR-068, SCR-069, SCR-070, SCR-122</t>
        </is>
      </c>
      <c r="I8" s="4" t="inlineStr">
        <is>
          <t>Guest and reservation identities from Phase 3</t>
        </is>
      </c>
      <c r="J8" s="4" t="inlineStr">
        <is>
          <t>Implement, integrate and test guest crm, privacy &amp; communications screens, APIs, entities, permissions, audit events and reports.</t>
        </is>
      </c>
      <c r="K8" s="4" t="inlineStr">
        <is>
          <t>Guest 360, consent, KYC, dedupe and communication journeys pass</t>
        </is>
      </c>
      <c r="L8" s="4" t="inlineStr">
        <is>
          <t>Not Started</t>
        </is>
      </c>
      <c r="M8" s="5">
        <f>IF(L8="Done",1,IF(L8="QA",0.9,IF(L8="Integration",0.75,IF(L8="Frontend",0.55,IF(L8="Backend",0.35,IF(L8="UX/UI",0.1,0))))))</f>
        <v/>
      </c>
    </row>
    <row r="9" ht="42" customHeight="1" s="43">
      <c r="A9" s="4" t="n">
        <v>5</v>
      </c>
      <c r="B9" s="4" t="inlineStr">
        <is>
          <t>Housekeeping &amp; Guest Services</t>
        </is>
      </c>
      <c r="C9" s="4" t="inlineStr">
        <is>
          <t>S10-S11</t>
        </is>
      </c>
      <c r="D9" s="7" t="n">
        <v>46398</v>
      </c>
      <c r="E9" s="7" t="n">
        <v>46425</v>
      </c>
      <c r="F9" s="4" t="n">
        <v>4</v>
      </c>
      <c r="G9" s="4" t="n">
        <v>8</v>
      </c>
      <c r="H9" s="4" t="inlineStr">
        <is>
          <t>SCR-006, SCR-014, SCR-071, SCR-072, SCR-073, SCR-074, SCR-075, SCR-076</t>
        </is>
      </c>
      <c r="I9" s="4" t="inlineStr">
        <is>
          <t>Rooms, guests and in-house stays</t>
        </is>
      </c>
      <c r="J9" s="4" t="inlineStr">
        <is>
          <t>Implement, integrate and test housekeeping &amp; guest services screens, APIs, entities, permissions, audit events and reports.</t>
        </is>
      </c>
      <c r="K9" s="4" t="inlineStr">
        <is>
          <t>Room turnaround, service tasks and minibar postings synchronize</t>
        </is>
      </c>
      <c r="L9" s="4" t="inlineStr">
        <is>
          <t>Not Started</t>
        </is>
      </c>
      <c r="M9" s="5">
        <f>IF(L9="Done",1,IF(L9="QA",0.9,IF(L9="Integration",0.75,IF(L9="Frontend",0.55,IF(L9="Backend",0.35,IF(L9="UX/UI",0.1,0))))))</f>
        <v/>
      </c>
    </row>
    <row r="10" ht="42" customHeight="1" s="43">
      <c r="A10" s="4" t="n">
        <v>6</v>
      </c>
      <c r="B10" s="4" t="inlineStr">
        <is>
          <t>Restaurant POS &amp; Kitchen</t>
        </is>
      </c>
      <c r="C10" s="4" t="inlineStr">
        <is>
          <t>S12-S13</t>
        </is>
      </c>
      <c r="D10" s="7" t="n">
        <v>46426</v>
      </c>
      <c r="E10" s="7" t="n">
        <v>46453</v>
      </c>
      <c r="F10" s="4" t="n">
        <v>4</v>
      </c>
      <c r="G10" s="4" t="n">
        <v>9</v>
      </c>
      <c r="H10" s="4" t="inlineStr">
        <is>
          <t>SCR-012, SCR-013, SCR-077, SCR-078, SCR-079, SCR-080, SCR-081, SCR-082, SCR-083</t>
        </is>
      </c>
      <c r="I10" s="4" t="inlineStr">
        <is>
          <t>Tax, payment, outlets and inventory masters</t>
        </is>
      </c>
      <c r="J10" s="4" t="inlineStr">
        <is>
          <t>Implement, integrate and test restaurant pos &amp; kitchen screens, APIs, entities, permissions, audit events and reports.</t>
        </is>
      </c>
      <c r="K10" s="4" t="inlineStr">
        <is>
          <t>Order-to-kitchen-to-bill flow and approvals pass</t>
        </is>
      </c>
      <c r="L10" s="4" t="inlineStr">
        <is>
          <t>Not Started</t>
        </is>
      </c>
      <c r="M10" s="5">
        <f>IF(L10="Done",1,IF(L10="QA",0.9,IF(L10="Integration",0.75,IF(L10="Frontend",0.55,IF(L10="Backend",0.35,IF(L10="UX/UI",0.1,0))))))</f>
        <v/>
      </c>
    </row>
    <row r="11" ht="42" customHeight="1" s="43">
      <c r="A11" s="4" t="n">
        <v>7</v>
      </c>
      <c r="B11" s="4" t="inlineStr">
        <is>
          <t>Inventory &amp; Procurement</t>
        </is>
      </c>
      <c r="C11" s="4" t="inlineStr">
        <is>
          <t>S14-S15</t>
        </is>
      </c>
      <c r="D11" s="7" t="n">
        <v>46454</v>
      </c>
      <c r="E11" s="7" t="n">
        <v>46481</v>
      </c>
      <c r="F11" s="4" t="n">
        <v>4</v>
      </c>
      <c r="G11" s="4" t="n">
        <v>10</v>
      </c>
      <c r="H11" s="4" t="inlineStr">
        <is>
          <t>SCR-020, SCR-023, SCR-102, SCR-103, SCR-104, SCR-105, SCR-106, SCR-107, SCR-108, SCR-109</t>
        </is>
      </c>
      <c r="I11" s="4" t="inlineStr">
        <is>
          <t>Property, finance and user approval setup</t>
        </is>
      </c>
      <c r="J11" s="4" t="inlineStr">
        <is>
          <t>Implement, integrate and test inventory &amp; procurement screens, APIs, entities, permissions, audit events and reports.</t>
        </is>
      </c>
      <c r="K11" s="4" t="inlineStr">
        <is>
          <t>Requisition-to-PO-to-receipt-to-stock and return flow reconciles</t>
        </is>
      </c>
      <c r="L11" s="4" t="inlineStr">
        <is>
          <t>Not Started</t>
        </is>
      </c>
      <c r="M11" s="5">
        <f>IF(L11="Done",1,IF(L11="QA",0.9,IF(L11="Integration",0.75,IF(L11="Frontend",0.55,IF(L11="Backend",0.35,IF(L11="UX/UI",0.1,0))))))</f>
        <v/>
      </c>
    </row>
    <row r="12" ht="42" customHeight="1" s="43">
      <c r="A12" s="4" t="n">
        <v>8</v>
      </c>
      <c r="B12" s="4" t="inlineStr">
        <is>
          <t>Maintenance &amp; Asset Operations</t>
        </is>
      </c>
      <c r="C12" s="4" t="inlineStr">
        <is>
          <t>S16</t>
        </is>
      </c>
      <c r="D12" s="7" t="n">
        <v>46482</v>
      </c>
      <c r="E12" s="7" t="n">
        <v>46495</v>
      </c>
      <c r="F12" s="4" t="n">
        <v>2</v>
      </c>
      <c r="G12" s="4" t="n">
        <v>6</v>
      </c>
      <c r="H12" s="4" t="inlineStr">
        <is>
          <t>SCR-019, SCR-097, SCR-098, SCR-099, SCR-100, SCR-101</t>
        </is>
      </c>
      <c r="I12" s="4" t="inlineStr">
        <is>
          <t>Property locations, users and inventory items</t>
        </is>
      </c>
      <c r="J12" s="4" t="inlineStr">
        <is>
          <t>Implement, integrate and test maintenance &amp; asset operations screens, APIs, entities, permissions, audit events and reports.</t>
        </is>
      </c>
      <c r="K12" s="4" t="inlineStr">
        <is>
          <t>Corrective and preventive work orders update assets and costs</t>
        </is>
      </c>
      <c r="L12" s="4" t="inlineStr">
        <is>
          <t>Not Started</t>
        </is>
      </c>
      <c r="M12" s="5">
        <f>IF(L12="Done",1,IF(L12="QA",0.9,IF(L12="Integration",0.75,IF(L12="Frontend",0.55,IF(L12="Backend",0.35,IF(L12="UX/UI",0.1,0))))))</f>
        <v/>
      </c>
    </row>
    <row r="13" ht="42" customHeight="1" s="43">
      <c r="A13" s="4" t="n">
        <v>9</v>
      </c>
      <c r="B13" s="4" t="inlineStr">
        <is>
          <t>Activities, Spa, Events &amp; Transport</t>
        </is>
      </c>
      <c r="C13" s="4" t="inlineStr">
        <is>
          <t>S17-S19</t>
        </is>
      </c>
      <c r="D13" s="7" t="n">
        <v>46496</v>
      </c>
      <c r="E13" s="7" t="n">
        <v>46537</v>
      </c>
      <c r="F13" s="4" t="n">
        <v>6</v>
      </c>
      <c r="G13" s="4" t="n">
        <v>17</v>
      </c>
      <c r="H13" s="4" t="inlineStr">
        <is>
          <t>SCR-015, SCR-016, SCR-017, SCR-018, SCR-084, SCR-085, SCR-086, SCR-087, SCR-088, SCR-089, SCR-090, SCR-091, SCR-092, SCR-093, SCR-094, SCR-095, SCR-096</t>
        </is>
      </c>
      <c r="I13" s="4" t="inlineStr">
        <is>
          <t>Guests, payments, resources and notifications</t>
        </is>
      </c>
      <c r="J13" s="4" t="inlineStr">
        <is>
          <t>Implement, integrate and test activities, spa, events &amp; transport screens, APIs, entities, permissions, audit events and reports.</t>
        </is>
      </c>
      <c r="K13" s="4" t="inlineStr">
        <is>
          <t>Resource-safe booking, service delivery and settlement pass for all outlets</t>
        </is>
      </c>
      <c r="L13" s="4" t="inlineStr">
        <is>
          <t>Not Started</t>
        </is>
      </c>
      <c r="M13" s="5">
        <f>IF(L13="Done",1,IF(L13="QA",0.9,IF(L13="Integration",0.75,IF(L13="Frontend",0.55,IF(L13="Backend",0.35,IF(L13="UX/UI",0.1,0))))))</f>
        <v/>
      </c>
    </row>
    <row r="14" ht="42" customHeight="1" s="43">
      <c r="A14" s="4" t="n">
        <v>10</v>
      </c>
      <c r="B14" s="4" t="inlineStr">
        <is>
          <t>Workforce, Finance &amp; Analytics</t>
        </is>
      </c>
      <c r="C14" s="4" t="inlineStr">
        <is>
          <t>S20-S22</t>
        </is>
      </c>
      <c r="D14" s="7" t="n">
        <v>46538</v>
      </c>
      <c r="E14" s="7" t="n">
        <v>46579</v>
      </c>
      <c r="F14" s="4" t="n">
        <v>6</v>
      </c>
      <c r="G14" s="4" t="n">
        <v>10</v>
      </c>
      <c r="H14" s="4" t="inlineStr">
        <is>
          <t>SCR-021, SCR-022, SCR-027, SCR-036, SCR-037, SCR-038, SCR-110, SCR-111, SCR-112, SCR-113</t>
        </is>
      </c>
      <c r="I14" s="4" t="inlineStr">
        <is>
          <t>Operational postings and approval hierarchy</t>
        </is>
      </c>
      <c r="J14" s="4" t="inlineStr">
        <is>
          <t>Implement, integrate and test workforce, finance &amp; analytics screens, APIs, entities, permissions, audit events and reports.</t>
        </is>
      </c>
      <c r="K14" s="4" t="inlineStr">
        <is>
          <t>Roster, attendance, cashiering, audit close, AR and reports reconcile</t>
        </is>
      </c>
      <c r="L14" s="4" t="inlineStr">
        <is>
          <t>Not Started</t>
        </is>
      </c>
      <c r="M14" s="5">
        <f>IF(L14="Done",1,IF(L14="QA",0.9,IF(L14="Integration",0.75,IF(L14="Frontend",0.55,IF(L14="Backend",0.35,IF(L14="UX/UI",0.1,0))))))</f>
        <v/>
      </c>
    </row>
    <row r="15" ht="42" customHeight="1" s="43">
      <c r="A15" s="4" t="n">
        <v>11</v>
      </c>
      <c r="B15" s="4" t="inlineStr">
        <is>
          <t>Portals, Integrations &amp; AI</t>
        </is>
      </c>
      <c r="C15" s="4" t="inlineStr">
        <is>
          <t>S23-S25</t>
        </is>
      </c>
      <c r="D15" s="7" t="n">
        <v>46580</v>
      </c>
      <c r="E15" s="7" t="n">
        <v>46621</v>
      </c>
      <c r="F15" s="4" t="n">
        <v>6</v>
      </c>
      <c r="G15" s="4" t="n">
        <v>11</v>
      </c>
      <c r="H15" s="4" t="inlineStr">
        <is>
          <t>SCR-044, SCR-045, SCR-046, SCR-048, SCR-049, SCR-050, SCR-124, SCR-127, SCR-128, SCR-129, SCR-130</t>
        </is>
      </c>
      <c r="I15" s="4" t="inlineStr">
        <is>
          <t>Stable APIs, permissions, notification and knowledge policies</t>
        </is>
      </c>
      <c r="J15" s="4" t="inlineStr">
        <is>
          <t>Implement, integrate and test portals, integrations &amp; ai screens, APIs, entities, permissions, audit events and reports.</t>
        </is>
      </c>
      <c r="K15" s="4" t="inlineStr">
        <is>
          <t>Portal, integration and AI tool calls are secure, observable and accepted</t>
        </is>
      </c>
      <c r="L15" s="4" t="inlineStr">
        <is>
          <t>Not Started</t>
        </is>
      </c>
      <c r="M15" s="5">
        <f>IF(L15="Done",1,IF(L15="QA",0.9,IF(L15="Integration",0.75,IF(L15="Frontend",0.55,IF(L15="Backend",0.35,IF(L15="UX/UI",0.1,0))))))</f>
        <v/>
      </c>
    </row>
    <row r="16" ht="42" customHeight="1" s="43">
      <c r="A16" s="4" t="n">
        <v>12</v>
      </c>
      <c r="B16" s="4" t="inlineStr">
        <is>
          <t>Executive Dashboard, UAT &amp; Release</t>
        </is>
      </c>
      <c r="C16" s="4" t="inlineStr">
        <is>
          <t>S26-S27</t>
        </is>
      </c>
      <c r="D16" s="7" t="n">
        <v>46622</v>
      </c>
      <c r="E16" s="7" t="n">
        <v>46649</v>
      </c>
      <c r="F16" s="4" t="n">
        <v>4</v>
      </c>
      <c r="G16" s="4" t="n">
        <v>1</v>
      </c>
      <c r="H16" s="4" t="inlineStr">
        <is>
          <t>SCR-001</t>
        </is>
      </c>
      <c r="I16" s="4" t="inlineStr">
        <is>
          <t>All operational modules integrated in staging</t>
        </is>
      </c>
      <c r="J16" s="4" t="inlineStr">
        <is>
          <t>Implement, integrate and test executive dashboard, uat &amp; release screens, APIs, entities, permissions, audit events and reports.</t>
        </is>
      </c>
      <c r="K16" s="4" t="inlineStr">
        <is>
          <t>KPI reconciliation, security, performance, migration, training and go-live sign-off</t>
        </is>
      </c>
      <c r="L16" s="4" t="inlineStr">
        <is>
          <t>Not Started</t>
        </is>
      </c>
      <c r="M16" s="5">
        <f>IF(L16="Done",1,IF(L16="QA",0.9,IF(L16="Integration",0.75,IF(L16="Frontend",0.55,IF(L16="Backend",0.35,IF(L16="UX/UI",0.1,0))))))</f>
        <v/>
      </c>
    </row>
  </sheetData>
  <mergeCells count="2">
    <mergeCell ref="A2:M2"/>
    <mergeCell ref="A1:M1"/>
  </mergeCells>
  <dataValidations count="1">
    <dataValidation sqref="L5:L16" showDropDown="0" showInputMessage="0" showErrorMessage="0" allowBlank="0" type="list">
      <formula1>"Not Started,UX/UI,Backend,Frontend,Integration,QA,Blocked,Done"</formula1>
    </dataValidation>
  </dataValidation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AD27"/>
  <sheetViews>
    <sheetView showGridLines="0" workbookViewId="0">
      <selection activeCell="A1" sqref="A1"/>
    </sheetView>
  </sheetViews>
  <sheetFormatPr baseColWidth="8" defaultRowHeight="14"/>
  <cols>
    <col width="30" customWidth="1" style="43" min="1" max="1"/>
    <col width="16" customWidth="1" style="43" min="2" max="29"/>
  </cols>
  <sheetData>
    <row r="1" ht="30" customHeight="1" s="43">
      <c r="A1" s="50" t="inlineStr">
        <is>
          <t>Role Access Matrix by Module</t>
        </is>
      </c>
    </row>
    <row r="2">
      <c r="A2" s="42" t="inlineStr">
        <is>
          <t>Permissions: V View, C Create, E Edit, D Delete/Deactivate, A Approve/Override, S Self-service, X No access. Enforce server-side; UI visibility is not authorization.</t>
        </is>
      </c>
    </row>
    <row r="4" ht="28" customHeight="1" s="43">
      <c r="A4" s="1" t="inlineStr">
        <is>
          <t>Role</t>
        </is>
      </c>
      <c r="B4" s="2" t="inlineStr">
        <is>
          <t>Overview</t>
        </is>
      </c>
      <c r="C4" s="2" t="inlineStr">
        <is>
          <t>Front Desk</t>
        </is>
      </c>
      <c r="D4" s="2" t="inlineStr">
        <is>
          <t>Reservations</t>
        </is>
      </c>
      <c r="E4" s="2" t="inlineStr">
        <is>
          <t>Housekeeping</t>
        </is>
      </c>
      <c r="F4" s="2" t="inlineStr">
        <is>
          <t>Property &amp; Rooms</t>
        </is>
      </c>
      <c r="G4" s="2" t="inlineStr">
        <is>
          <t>Guest CRM</t>
        </is>
      </c>
      <c r="H4" s="2" t="inlineStr">
        <is>
          <t>Food &amp; Beverage</t>
        </is>
      </c>
      <c r="I4" s="2" t="inlineStr">
        <is>
          <t>Guest Services</t>
        </is>
      </c>
      <c r="J4" s="2" t="inlineStr">
        <is>
          <t>Activities</t>
        </is>
      </c>
      <c r="K4" s="2" t="inlineStr">
        <is>
          <t>Spa</t>
        </is>
      </c>
      <c r="L4" s="2" t="inlineStr">
        <is>
          <t>Events &amp; Banquets</t>
        </is>
      </c>
      <c r="M4" s="2" t="inlineStr">
        <is>
          <t>Transport</t>
        </is>
      </c>
      <c r="N4" s="2" t="inlineStr">
        <is>
          <t>Maintenance</t>
        </is>
      </c>
      <c r="O4" s="2" t="inlineStr">
        <is>
          <t>Inventory</t>
        </is>
      </c>
      <c r="P4" s="2" t="inlineStr">
        <is>
          <t>Workforce</t>
        </is>
      </c>
      <c r="Q4" s="2" t="inlineStr">
        <is>
          <t>Finance</t>
        </is>
      </c>
      <c r="R4" s="2" t="inlineStr">
        <is>
          <t>Purchasing</t>
        </is>
      </c>
      <c r="S4" s="2" t="inlineStr">
        <is>
          <t>Distribution</t>
        </is>
      </c>
      <c r="T4" s="2" t="inlineStr">
        <is>
          <t>Administration</t>
        </is>
      </c>
      <c r="U4" s="2" t="inlineStr">
        <is>
          <t>Analytics</t>
        </is>
      </c>
      <c r="V4" s="2" t="inlineStr">
        <is>
          <t>Groups</t>
        </is>
      </c>
      <c r="W4" s="2" t="inlineStr">
        <is>
          <t>Revenue Management</t>
        </is>
      </c>
      <c r="X4" s="2" t="inlineStr">
        <is>
          <t>AI &amp; Automation</t>
        </is>
      </c>
      <c r="Y4" s="2" t="inlineStr">
        <is>
          <t>Communications</t>
        </is>
      </c>
      <c r="Z4" s="2" t="inlineStr">
        <is>
          <t>Guest Portal</t>
        </is>
      </c>
      <c r="AA4" s="2" t="inlineStr">
        <is>
          <t>Partner Portal</t>
        </is>
      </c>
      <c r="AB4" s="2" t="inlineStr">
        <is>
          <t>Sales &amp; Marketing</t>
        </is>
      </c>
      <c r="AC4" s="3" t="inlineStr">
        <is>
          <t>Integrations</t>
        </is>
      </c>
    </row>
    <row r="5">
      <c r="A5" s="23" t="inlineStr">
        <is>
          <t>Owner / General Manager</t>
        </is>
      </c>
      <c r="B5" s="22" t="inlineStr">
        <is>
          <t>V,A</t>
        </is>
      </c>
      <c r="C5" s="22" t="inlineStr">
        <is>
          <t>V,A</t>
        </is>
      </c>
      <c r="D5" s="22" t="inlineStr">
        <is>
          <t>V,A</t>
        </is>
      </c>
      <c r="E5" s="22" t="inlineStr">
        <is>
          <t>V,A</t>
        </is>
      </c>
      <c r="F5" s="22" t="inlineStr">
        <is>
          <t>V,A</t>
        </is>
      </c>
      <c r="G5" s="22" t="inlineStr">
        <is>
          <t>V,A</t>
        </is>
      </c>
      <c r="H5" s="22" t="inlineStr">
        <is>
          <t>V,A</t>
        </is>
      </c>
      <c r="I5" s="22" t="inlineStr">
        <is>
          <t>V,A</t>
        </is>
      </c>
      <c r="J5" s="22" t="inlineStr">
        <is>
          <t>V,A</t>
        </is>
      </c>
      <c r="K5" s="22" t="inlineStr">
        <is>
          <t>V,A</t>
        </is>
      </c>
      <c r="L5" s="22" t="inlineStr">
        <is>
          <t>V,A</t>
        </is>
      </c>
      <c r="M5" s="22" t="inlineStr">
        <is>
          <t>V,A</t>
        </is>
      </c>
      <c r="N5" s="22" t="inlineStr">
        <is>
          <t>V,A</t>
        </is>
      </c>
      <c r="O5" s="22" t="inlineStr">
        <is>
          <t>V,A</t>
        </is>
      </c>
      <c r="P5" s="22" t="inlineStr">
        <is>
          <t>V,A</t>
        </is>
      </c>
      <c r="Q5" s="22" t="inlineStr">
        <is>
          <t>V,A</t>
        </is>
      </c>
      <c r="R5" s="22" t="inlineStr">
        <is>
          <t>V,A</t>
        </is>
      </c>
      <c r="S5" s="22" t="inlineStr">
        <is>
          <t>V,A</t>
        </is>
      </c>
      <c r="T5" s="22" t="inlineStr">
        <is>
          <t>V,A</t>
        </is>
      </c>
      <c r="U5" s="22" t="inlineStr">
        <is>
          <t>V,A</t>
        </is>
      </c>
      <c r="V5" s="22" t="inlineStr">
        <is>
          <t>V,A</t>
        </is>
      </c>
      <c r="W5" s="22" t="inlineStr">
        <is>
          <t>V,A</t>
        </is>
      </c>
      <c r="X5" s="22" t="inlineStr">
        <is>
          <t>V,A</t>
        </is>
      </c>
      <c r="Y5" s="22" t="inlineStr">
        <is>
          <t>V,A</t>
        </is>
      </c>
      <c r="Z5" s="22" t="inlineStr">
        <is>
          <t>V,A</t>
        </is>
      </c>
      <c r="AA5" s="22" t="inlineStr">
        <is>
          <t>V,A</t>
        </is>
      </c>
      <c r="AB5" s="22" t="inlineStr">
        <is>
          <t>V,A</t>
        </is>
      </c>
      <c r="AC5" s="22" t="inlineStr">
        <is>
          <t>V,A</t>
        </is>
      </c>
    </row>
    <row r="6">
      <c r="A6" s="23" t="inlineStr">
        <is>
          <t>System Administrator</t>
        </is>
      </c>
      <c r="B6" s="22" t="inlineStr">
        <is>
          <t>V</t>
        </is>
      </c>
      <c r="C6" s="22" t="inlineStr">
        <is>
          <t>V</t>
        </is>
      </c>
      <c r="D6" s="22" t="inlineStr">
        <is>
          <t>V</t>
        </is>
      </c>
      <c r="E6" s="22" t="inlineStr">
        <is>
          <t>V</t>
        </is>
      </c>
      <c r="F6" s="22" t="inlineStr">
        <is>
          <t>V</t>
        </is>
      </c>
      <c r="G6" s="22" t="inlineStr">
        <is>
          <t>V</t>
        </is>
      </c>
      <c r="H6" s="22" t="inlineStr">
        <is>
          <t>V</t>
        </is>
      </c>
      <c r="I6" s="22" t="inlineStr">
        <is>
          <t>V</t>
        </is>
      </c>
      <c r="J6" s="22" t="inlineStr">
        <is>
          <t>V</t>
        </is>
      </c>
      <c r="K6" s="22" t="inlineStr">
        <is>
          <t>V</t>
        </is>
      </c>
      <c r="L6" s="22" t="inlineStr">
        <is>
          <t>V</t>
        </is>
      </c>
      <c r="M6" s="22" t="inlineStr">
        <is>
          <t>V</t>
        </is>
      </c>
      <c r="N6" s="22" t="inlineStr">
        <is>
          <t>V</t>
        </is>
      </c>
      <c r="O6" s="22" t="inlineStr">
        <is>
          <t>V</t>
        </is>
      </c>
      <c r="P6" s="22" t="inlineStr">
        <is>
          <t>V</t>
        </is>
      </c>
      <c r="Q6" s="22" t="inlineStr">
        <is>
          <t>V</t>
        </is>
      </c>
      <c r="R6" s="22" t="inlineStr">
        <is>
          <t>V</t>
        </is>
      </c>
      <c r="S6" s="22" t="inlineStr">
        <is>
          <t>V</t>
        </is>
      </c>
      <c r="T6" s="22" t="inlineStr">
        <is>
          <t>V,C,E,D,A</t>
        </is>
      </c>
      <c r="U6" s="22" t="inlineStr">
        <is>
          <t>V</t>
        </is>
      </c>
      <c r="V6" s="22" t="inlineStr">
        <is>
          <t>V</t>
        </is>
      </c>
      <c r="W6" s="22" t="inlineStr">
        <is>
          <t>V</t>
        </is>
      </c>
      <c r="X6" s="22" t="inlineStr">
        <is>
          <t>V,C,E,D,A</t>
        </is>
      </c>
      <c r="Y6" s="22" t="inlineStr">
        <is>
          <t>V</t>
        </is>
      </c>
      <c r="Z6" s="22" t="inlineStr">
        <is>
          <t>V</t>
        </is>
      </c>
      <c r="AA6" s="22" t="inlineStr">
        <is>
          <t>V</t>
        </is>
      </c>
      <c r="AB6" s="22" t="inlineStr">
        <is>
          <t>V</t>
        </is>
      </c>
      <c r="AC6" s="22" t="inlineStr">
        <is>
          <t>V,C,E,D,A</t>
        </is>
      </c>
    </row>
    <row r="7">
      <c r="A7" s="23" t="inlineStr">
        <is>
          <t>Property Administrator</t>
        </is>
      </c>
      <c r="B7" s="22" t="inlineStr">
        <is>
          <t>V</t>
        </is>
      </c>
      <c r="C7" s="22" t="inlineStr">
        <is>
          <t>V</t>
        </is>
      </c>
      <c r="D7" s="22" t="inlineStr">
        <is>
          <t>V</t>
        </is>
      </c>
      <c r="E7" s="22" t="inlineStr">
        <is>
          <t>V</t>
        </is>
      </c>
      <c r="F7" s="22" t="inlineStr">
        <is>
          <t>V,C,E,D,A</t>
        </is>
      </c>
      <c r="G7" s="22" t="inlineStr">
        <is>
          <t>V</t>
        </is>
      </c>
      <c r="H7" s="22" t="inlineStr">
        <is>
          <t>V</t>
        </is>
      </c>
      <c r="I7" s="22" t="inlineStr">
        <is>
          <t>V</t>
        </is>
      </c>
      <c r="J7" s="22" t="inlineStr">
        <is>
          <t>V</t>
        </is>
      </c>
      <c r="K7" s="22" t="inlineStr">
        <is>
          <t>V</t>
        </is>
      </c>
      <c r="L7" s="22" t="inlineStr">
        <is>
          <t>V</t>
        </is>
      </c>
      <c r="M7" s="22" t="inlineStr">
        <is>
          <t>V</t>
        </is>
      </c>
      <c r="N7" s="22" t="inlineStr">
        <is>
          <t>V</t>
        </is>
      </c>
      <c r="O7" s="22" t="inlineStr">
        <is>
          <t>V</t>
        </is>
      </c>
      <c r="P7" s="22" t="inlineStr">
        <is>
          <t>V</t>
        </is>
      </c>
      <c r="Q7" s="22" t="inlineStr">
        <is>
          <t>V</t>
        </is>
      </c>
      <c r="R7" s="22" t="inlineStr">
        <is>
          <t>V</t>
        </is>
      </c>
      <c r="S7" s="22" t="inlineStr">
        <is>
          <t>V</t>
        </is>
      </c>
      <c r="T7" s="22" t="inlineStr">
        <is>
          <t>V,C,E,D,A</t>
        </is>
      </c>
      <c r="U7" s="22" t="inlineStr">
        <is>
          <t>V</t>
        </is>
      </c>
      <c r="V7" s="22" t="inlineStr">
        <is>
          <t>V</t>
        </is>
      </c>
      <c r="W7" s="22" t="inlineStr">
        <is>
          <t>V</t>
        </is>
      </c>
      <c r="X7" s="22" t="inlineStr">
        <is>
          <t>V</t>
        </is>
      </c>
      <c r="Y7" s="22" t="inlineStr">
        <is>
          <t>V</t>
        </is>
      </c>
      <c r="Z7" s="22" t="inlineStr">
        <is>
          <t>V</t>
        </is>
      </c>
      <c r="AA7" s="22" t="inlineStr">
        <is>
          <t>V</t>
        </is>
      </c>
      <c r="AB7" s="22" t="inlineStr">
        <is>
          <t>V</t>
        </is>
      </c>
      <c r="AC7" s="22" t="inlineStr">
        <is>
          <t>V</t>
        </is>
      </c>
    </row>
    <row r="8">
      <c r="A8" s="23" t="inlineStr">
        <is>
          <t>Front Office Manager</t>
        </is>
      </c>
      <c r="B8" s="22" t="inlineStr">
        <is>
          <t>V</t>
        </is>
      </c>
      <c r="C8" s="22" t="inlineStr">
        <is>
          <t>V,C,E,D,A</t>
        </is>
      </c>
      <c r="D8" s="22" t="inlineStr">
        <is>
          <t>V,C,E,D,A</t>
        </is>
      </c>
      <c r="E8" s="22" t="inlineStr">
        <is>
          <t>X</t>
        </is>
      </c>
      <c r="F8" s="22" t="inlineStr">
        <is>
          <t>V,C,E,D,A</t>
        </is>
      </c>
      <c r="G8" s="22" t="inlineStr">
        <is>
          <t>V,C,E,D,A</t>
        </is>
      </c>
      <c r="H8" s="22" t="inlineStr">
        <is>
          <t>X</t>
        </is>
      </c>
      <c r="I8" s="22" t="inlineStr">
        <is>
          <t>V,C,E,D,A</t>
        </is>
      </c>
      <c r="J8" s="22" t="inlineStr">
        <is>
          <t>X</t>
        </is>
      </c>
      <c r="K8" s="22" t="inlineStr">
        <is>
          <t>X</t>
        </is>
      </c>
      <c r="L8" s="22" t="inlineStr">
        <is>
          <t>X</t>
        </is>
      </c>
      <c r="M8" s="22" t="inlineStr">
        <is>
          <t>X</t>
        </is>
      </c>
      <c r="N8" s="22" t="inlineStr">
        <is>
          <t>X</t>
        </is>
      </c>
      <c r="O8" s="22" t="inlineStr">
        <is>
          <t>X</t>
        </is>
      </c>
      <c r="P8" s="22" t="inlineStr">
        <is>
          <t>X</t>
        </is>
      </c>
      <c r="Q8" s="22" t="inlineStr">
        <is>
          <t>V,C,E,D,A</t>
        </is>
      </c>
      <c r="R8" s="22" t="inlineStr">
        <is>
          <t>X</t>
        </is>
      </c>
      <c r="S8" s="22" t="inlineStr">
        <is>
          <t>X</t>
        </is>
      </c>
      <c r="T8" s="22" t="inlineStr">
        <is>
          <t>X</t>
        </is>
      </c>
      <c r="U8" s="22" t="inlineStr">
        <is>
          <t>V</t>
        </is>
      </c>
      <c r="V8" s="22" t="inlineStr">
        <is>
          <t>V,C,E,D,A</t>
        </is>
      </c>
      <c r="W8" s="22" t="inlineStr">
        <is>
          <t>X</t>
        </is>
      </c>
      <c r="X8" s="22" t="inlineStr">
        <is>
          <t>X</t>
        </is>
      </c>
      <c r="Y8" s="22" t="inlineStr">
        <is>
          <t>X</t>
        </is>
      </c>
      <c r="Z8" s="22" t="inlineStr">
        <is>
          <t>X</t>
        </is>
      </c>
      <c r="AA8" s="22" t="inlineStr">
        <is>
          <t>X</t>
        </is>
      </c>
      <c r="AB8" s="22" t="inlineStr">
        <is>
          <t>X</t>
        </is>
      </c>
      <c r="AC8" s="22" t="inlineStr">
        <is>
          <t>X</t>
        </is>
      </c>
    </row>
    <row r="9">
      <c r="A9" s="23" t="inlineStr">
        <is>
          <t>Receptionist</t>
        </is>
      </c>
      <c r="B9" s="22" t="inlineStr">
        <is>
          <t>V</t>
        </is>
      </c>
      <c r="C9" s="22" t="inlineStr">
        <is>
          <t>V,C,E,D,A</t>
        </is>
      </c>
      <c r="D9" s="22" t="inlineStr">
        <is>
          <t>V,C,E,D,A</t>
        </is>
      </c>
      <c r="E9" s="22" t="inlineStr">
        <is>
          <t>X</t>
        </is>
      </c>
      <c r="F9" s="22" t="inlineStr">
        <is>
          <t>X</t>
        </is>
      </c>
      <c r="G9" s="22" t="inlineStr">
        <is>
          <t>V,C,E,D,A</t>
        </is>
      </c>
      <c r="H9" s="22" t="inlineStr">
        <is>
          <t>X</t>
        </is>
      </c>
      <c r="I9" s="22" t="inlineStr">
        <is>
          <t>V,C,E,D,A</t>
        </is>
      </c>
      <c r="J9" s="22" t="inlineStr">
        <is>
          <t>V,C,E,D,A</t>
        </is>
      </c>
      <c r="K9" s="22" t="inlineStr">
        <is>
          <t>V,C,E,D,A</t>
        </is>
      </c>
      <c r="L9" s="22" t="inlineStr">
        <is>
          <t>X</t>
        </is>
      </c>
      <c r="M9" s="22" t="inlineStr">
        <is>
          <t>V,C,E,D,A</t>
        </is>
      </c>
      <c r="N9" s="22" t="inlineStr">
        <is>
          <t>X</t>
        </is>
      </c>
      <c r="O9" s="22" t="inlineStr">
        <is>
          <t>X</t>
        </is>
      </c>
      <c r="P9" s="22" t="inlineStr">
        <is>
          <t>X</t>
        </is>
      </c>
      <c r="Q9" s="22" t="inlineStr">
        <is>
          <t>V,C,E,D,A</t>
        </is>
      </c>
      <c r="R9" s="22" t="inlineStr">
        <is>
          <t>X</t>
        </is>
      </c>
      <c r="S9" s="22" t="inlineStr">
        <is>
          <t>X</t>
        </is>
      </c>
      <c r="T9" s="22" t="inlineStr">
        <is>
          <t>X</t>
        </is>
      </c>
      <c r="U9" s="22" t="inlineStr">
        <is>
          <t>V</t>
        </is>
      </c>
      <c r="V9" s="22" t="inlineStr">
        <is>
          <t>X</t>
        </is>
      </c>
      <c r="W9" s="22" t="inlineStr">
        <is>
          <t>X</t>
        </is>
      </c>
      <c r="X9" s="22" t="inlineStr">
        <is>
          <t>X</t>
        </is>
      </c>
      <c r="Y9" s="22" t="inlineStr">
        <is>
          <t>X</t>
        </is>
      </c>
      <c r="Z9" s="22" t="inlineStr">
        <is>
          <t>X</t>
        </is>
      </c>
      <c r="AA9" s="22" t="inlineStr">
        <is>
          <t>X</t>
        </is>
      </c>
      <c r="AB9" s="22" t="inlineStr">
        <is>
          <t>X</t>
        </is>
      </c>
      <c r="AC9" s="22" t="inlineStr">
        <is>
          <t>X</t>
        </is>
      </c>
    </row>
    <row r="10">
      <c r="A10" s="23" t="inlineStr">
        <is>
          <t>Reservation Manager / Agent</t>
        </is>
      </c>
      <c r="B10" s="22" t="inlineStr">
        <is>
          <t>V</t>
        </is>
      </c>
      <c r="C10" s="22" t="inlineStr">
        <is>
          <t>X</t>
        </is>
      </c>
      <c r="D10" s="22" t="inlineStr">
        <is>
          <t>V,C,E,D,A</t>
        </is>
      </c>
      <c r="E10" s="22" t="inlineStr">
        <is>
          <t>X</t>
        </is>
      </c>
      <c r="F10" s="22" t="inlineStr">
        <is>
          <t>X</t>
        </is>
      </c>
      <c r="G10" s="22" t="inlineStr">
        <is>
          <t>V,C,E,D,A</t>
        </is>
      </c>
      <c r="H10" s="22" t="inlineStr">
        <is>
          <t>X</t>
        </is>
      </c>
      <c r="I10" s="22" t="inlineStr">
        <is>
          <t>X</t>
        </is>
      </c>
      <c r="J10" s="22" t="inlineStr">
        <is>
          <t>X</t>
        </is>
      </c>
      <c r="K10" s="22" t="inlineStr">
        <is>
          <t>X</t>
        </is>
      </c>
      <c r="L10" s="22" t="inlineStr">
        <is>
          <t>X</t>
        </is>
      </c>
      <c r="M10" s="22" t="inlineStr">
        <is>
          <t>X</t>
        </is>
      </c>
      <c r="N10" s="22" t="inlineStr">
        <is>
          <t>X</t>
        </is>
      </c>
      <c r="O10" s="22" t="inlineStr">
        <is>
          <t>X</t>
        </is>
      </c>
      <c r="P10" s="22" t="inlineStr">
        <is>
          <t>X</t>
        </is>
      </c>
      <c r="Q10" s="22" t="inlineStr">
        <is>
          <t>X</t>
        </is>
      </c>
      <c r="R10" s="22" t="inlineStr">
        <is>
          <t>X</t>
        </is>
      </c>
      <c r="S10" s="22" t="inlineStr">
        <is>
          <t>V,C,E,D,A</t>
        </is>
      </c>
      <c r="T10" s="22" t="inlineStr">
        <is>
          <t>X</t>
        </is>
      </c>
      <c r="U10" s="22" t="inlineStr">
        <is>
          <t>V</t>
        </is>
      </c>
      <c r="V10" s="22" t="inlineStr">
        <is>
          <t>V,C,E,D,A</t>
        </is>
      </c>
      <c r="W10" s="22" t="inlineStr">
        <is>
          <t>V,C,E,D,A</t>
        </is>
      </c>
      <c r="X10" s="22" t="inlineStr">
        <is>
          <t>X</t>
        </is>
      </c>
      <c r="Y10" s="22" t="inlineStr">
        <is>
          <t>X</t>
        </is>
      </c>
      <c r="Z10" s="22" t="inlineStr">
        <is>
          <t>X</t>
        </is>
      </c>
      <c r="AA10" s="22" t="inlineStr">
        <is>
          <t>V,C,E,D,A</t>
        </is>
      </c>
      <c r="AB10" s="22" t="inlineStr">
        <is>
          <t>X</t>
        </is>
      </c>
      <c r="AC10" s="22" t="inlineStr">
        <is>
          <t>X</t>
        </is>
      </c>
    </row>
    <row r="11">
      <c r="A11" s="23" t="inlineStr">
        <is>
          <t>Housekeeping Manager</t>
        </is>
      </c>
      <c r="B11" s="22" t="inlineStr">
        <is>
          <t>V</t>
        </is>
      </c>
      <c r="C11" s="22" t="inlineStr">
        <is>
          <t>X</t>
        </is>
      </c>
      <c r="D11" s="22" t="inlineStr">
        <is>
          <t>X</t>
        </is>
      </c>
      <c r="E11" s="22" t="inlineStr">
        <is>
          <t>V,C,E,D,A</t>
        </is>
      </c>
      <c r="F11" s="22" t="inlineStr">
        <is>
          <t>V,C,E,D,A</t>
        </is>
      </c>
      <c r="G11" s="22" t="inlineStr">
        <is>
          <t>X</t>
        </is>
      </c>
      <c r="H11" s="22" t="inlineStr">
        <is>
          <t>X</t>
        </is>
      </c>
      <c r="I11" s="22" t="inlineStr">
        <is>
          <t>V,C,E,D,A</t>
        </is>
      </c>
      <c r="J11" s="22" t="inlineStr">
        <is>
          <t>X</t>
        </is>
      </c>
      <c r="K11" s="22" t="inlineStr">
        <is>
          <t>X</t>
        </is>
      </c>
      <c r="L11" s="22" t="inlineStr">
        <is>
          <t>X</t>
        </is>
      </c>
      <c r="M11" s="22" t="inlineStr">
        <is>
          <t>X</t>
        </is>
      </c>
      <c r="N11" s="22" t="inlineStr">
        <is>
          <t>X</t>
        </is>
      </c>
      <c r="O11" s="22" t="inlineStr">
        <is>
          <t>V,C,E,D,A</t>
        </is>
      </c>
      <c r="P11" s="22" t="inlineStr">
        <is>
          <t>V,C,E,D,A</t>
        </is>
      </c>
      <c r="Q11" s="22" t="inlineStr">
        <is>
          <t>X</t>
        </is>
      </c>
      <c r="R11" s="22" t="inlineStr">
        <is>
          <t>X</t>
        </is>
      </c>
      <c r="S11" s="22" t="inlineStr">
        <is>
          <t>X</t>
        </is>
      </c>
      <c r="T11" s="22" t="inlineStr">
        <is>
          <t>X</t>
        </is>
      </c>
      <c r="U11" s="22" t="inlineStr">
        <is>
          <t>V</t>
        </is>
      </c>
      <c r="V11" s="22" t="inlineStr">
        <is>
          <t>X</t>
        </is>
      </c>
      <c r="W11" s="22" t="inlineStr">
        <is>
          <t>X</t>
        </is>
      </c>
      <c r="X11" s="22" t="inlineStr">
        <is>
          <t>X</t>
        </is>
      </c>
      <c r="Y11" s="22" t="inlineStr">
        <is>
          <t>X</t>
        </is>
      </c>
      <c r="Z11" s="22" t="inlineStr">
        <is>
          <t>X</t>
        </is>
      </c>
      <c r="AA11" s="22" t="inlineStr">
        <is>
          <t>X</t>
        </is>
      </c>
      <c r="AB11" s="22" t="inlineStr">
        <is>
          <t>X</t>
        </is>
      </c>
      <c r="AC11" s="22" t="inlineStr">
        <is>
          <t>X</t>
        </is>
      </c>
    </row>
    <row r="12">
      <c r="A12" s="23" t="inlineStr">
        <is>
          <t>Housekeeping Attendant</t>
        </is>
      </c>
      <c r="B12" s="22" t="inlineStr">
        <is>
          <t>V</t>
        </is>
      </c>
      <c r="C12" s="22" t="inlineStr">
        <is>
          <t>X</t>
        </is>
      </c>
      <c r="D12" s="22" t="inlineStr">
        <is>
          <t>X</t>
        </is>
      </c>
      <c r="E12" s="22" t="inlineStr">
        <is>
          <t>V,C,E</t>
        </is>
      </c>
      <c r="F12" s="22" t="inlineStr">
        <is>
          <t>X</t>
        </is>
      </c>
      <c r="G12" s="22" t="inlineStr">
        <is>
          <t>X</t>
        </is>
      </c>
      <c r="H12" s="22" t="inlineStr">
        <is>
          <t>X</t>
        </is>
      </c>
      <c r="I12" s="22" t="inlineStr">
        <is>
          <t>V,C,E</t>
        </is>
      </c>
      <c r="J12" s="22" t="inlineStr">
        <is>
          <t>X</t>
        </is>
      </c>
      <c r="K12" s="22" t="inlineStr">
        <is>
          <t>X</t>
        </is>
      </c>
      <c r="L12" s="22" t="inlineStr">
        <is>
          <t>X</t>
        </is>
      </c>
      <c r="M12" s="22" t="inlineStr">
        <is>
          <t>X</t>
        </is>
      </c>
      <c r="N12" s="22" t="inlineStr">
        <is>
          <t>X</t>
        </is>
      </c>
      <c r="O12" s="22" t="inlineStr">
        <is>
          <t>X</t>
        </is>
      </c>
      <c r="P12" s="22" t="inlineStr">
        <is>
          <t>X</t>
        </is>
      </c>
      <c r="Q12" s="22" t="inlineStr">
        <is>
          <t>X</t>
        </is>
      </c>
      <c r="R12" s="22" t="inlineStr">
        <is>
          <t>X</t>
        </is>
      </c>
      <c r="S12" s="22" t="inlineStr">
        <is>
          <t>X</t>
        </is>
      </c>
      <c r="T12" s="22" t="inlineStr">
        <is>
          <t>X</t>
        </is>
      </c>
      <c r="U12" s="22" t="inlineStr">
        <is>
          <t>V</t>
        </is>
      </c>
      <c r="V12" s="22" t="inlineStr">
        <is>
          <t>X</t>
        </is>
      </c>
      <c r="W12" s="22" t="inlineStr">
        <is>
          <t>X</t>
        </is>
      </c>
      <c r="X12" s="22" t="inlineStr">
        <is>
          <t>X</t>
        </is>
      </c>
      <c r="Y12" s="22" t="inlineStr">
        <is>
          <t>X</t>
        </is>
      </c>
      <c r="Z12" s="22" t="inlineStr">
        <is>
          <t>X</t>
        </is>
      </c>
      <c r="AA12" s="22" t="inlineStr">
        <is>
          <t>X</t>
        </is>
      </c>
      <c r="AB12" s="22" t="inlineStr">
        <is>
          <t>X</t>
        </is>
      </c>
      <c r="AC12" s="22" t="inlineStr">
        <is>
          <t>X</t>
        </is>
      </c>
    </row>
    <row r="13">
      <c r="A13" s="23" t="inlineStr">
        <is>
          <t>F&amp;B Manager</t>
        </is>
      </c>
      <c r="B13" s="22" t="inlineStr">
        <is>
          <t>V</t>
        </is>
      </c>
      <c r="C13" s="22" t="inlineStr">
        <is>
          <t>X</t>
        </is>
      </c>
      <c r="D13" s="22" t="inlineStr">
        <is>
          <t>X</t>
        </is>
      </c>
      <c r="E13" s="22" t="inlineStr">
        <is>
          <t>X</t>
        </is>
      </c>
      <c r="F13" s="22" t="inlineStr">
        <is>
          <t>X</t>
        </is>
      </c>
      <c r="G13" s="22" t="inlineStr">
        <is>
          <t>X</t>
        </is>
      </c>
      <c r="H13" s="22" t="inlineStr">
        <is>
          <t>V,C,E,D,A</t>
        </is>
      </c>
      <c r="I13" s="22" t="inlineStr">
        <is>
          <t>X</t>
        </is>
      </c>
      <c r="J13" s="22" t="inlineStr">
        <is>
          <t>X</t>
        </is>
      </c>
      <c r="K13" s="22" t="inlineStr">
        <is>
          <t>X</t>
        </is>
      </c>
      <c r="L13" s="22" t="inlineStr">
        <is>
          <t>X</t>
        </is>
      </c>
      <c r="M13" s="22" t="inlineStr">
        <is>
          <t>X</t>
        </is>
      </c>
      <c r="N13" s="22" t="inlineStr">
        <is>
          <t>X</t>
        </is>
      </c>
      <c r="O13" s="22" t="inlineStr">
        <is>
          <t>V,C,E,D,A</t>
        </is>
      </c>
      <c r="P13" s="22" t="inlineStr">
        <is>
          <t>X</t>
        </is>
      </c>
      <c r="Q13" s="22" t="inlineStr">
        <is>
          <t>V,C,E,D,A</t>
        </is>
      </c>
      <c r="R13" s="22" t="inlineStr">
        <is>
          <t>V,C,E,D,A</t>
        </is>
      </c>
      <c r="S13" s="22" t="inlineStr">
        <is>
          <t>X</t>
        </is>
      </c>
      <c r="T13" s="22" t="inlineStr">
        <is>
          <t>X</t>
        </is>
      </c>
      <c r="U13" s="22" t="inlineStr">
        <is>
          <t>V,C,E,D,A</t>
        </is>
      </c>
      <c r="V13" s="22" t="inlineStr">
        <is>
          <t>X</t>
        </is>
      </c>
      <c r="W13" s="22" t="inlineStr">
        <is>
          <t>X</t>
        </is>
      </c>
      <c r="X13" s="22" t="inlineStr">
        <is>
          <t>X</t>
        </is>
      </c>
      <c r="Y13" s="22" t="inlineStr">
        <is>
          <t>X</t>
        </is>
      </c>
      <c r="Z13" s="22" t="inlineStr">
        <is>
          <t>X</t>
        </is>
      </c>
      <c r="AA13" s="22" t="inlineStr">
        <is>
          <t>X</t>
        </is>
      </c>
      <c r="AB13" s="22" t="inlineStr">
        <is>
          <t>X</t>
        </is>
      </c>
      <c r="AC13" s="22" t="inlineStr">
        <is>
          <t>X</t>
        </is>
      </c>
    </row>
    <row r="14">
      <c r="A14" s="23" t="inlineStr">
        <is>
          <t>POS Cashier / Server</t>
        </is>
      </c>
      <c r="B14" s="22" t="inlineStr">
        <is>
          <t>V</t>
        </is>
      </c>
      <c r="C14" s="22" t="inlineStr">
        <is>
          <t>X</t>
        </is>
      </c>
      <c r="D14" s="22" t="inlineStr">
        <is>
          <t>X</t>
        </is>
      </c>
      <c r="E14" s="22" t="inlineStr">
        <is>
          <t>X</t>
        </is>
      </c>
      <c r="F14" s="22" t="inlineStr">
        <is>
          <t>X</t>
        </is>
      </c>
      <c r="G14" s="22" t="inlineStr">
        <is>
          <t>X</t>
        </is>
      </c>
      <c r="H14" s="22" t="inlineStr">
        <is>
          <t>V,C,E</t>
        </is>
      </c>
      <c r="I14" s="22" t="inlineStr">
        <is>
          <t>X</t>
        </is>
      </c>
      <c r="J14" s="22" t="inlineStr">
        <is>
          <t>X</t>
        </is>
      </c>
      <c r="K14" s="22" t="inlineStr">
        <is>
          <t>X</t>
        </is>
      </c>
      <c r="L14" s="22" t="inlineStr">
        <is>
          <t>X</t>
        </is>
      </c>
      <c r="M14" s="22" t="inlineStr">
        <is>
          <t>X</t>
        </is>
      </c>
      <c r="N14" s="22" t="inlineStr">
        <is>
          <t>X</t>
        </is>
      </c>
      <c r="O14" s="22" t="inlineStr">
        <is>
          <t>X</t>
        </is>
      </c>
      <c r="P14" s="22" t="inlineStr">
        <is>
          <t>X</t>
        </is>
      </c>
      <c r="Q14" s="22" t="inlineStr">
        <is>
          <t>V,C,E</t>
        </is>
      </c>
      <c r="R14" s="22" t="inlineStr">
        <is>
          <t>X</t>
        </is>
      </c>
      <c r="S14" s="22" t="inlineStr">
        <is>
          <t>X</t>
        </is>
      </c>
      <c r="T14" s="22" t="inlineStr">
        <is>
          <t>X</t>
        </is>
      </c>
      <c r="U14" s="22" t="inlineStr">
        <is>
          <t>V</t>
        </is>
      </c>
      <c r="V14" s="22" t="inlineStr">
        <is>
          <t>X</t>
        </is>
      </c>
      <c r="W14" s="22" t="inlineStr">
        <is>
          <t>X</t>
        </is>
      </c>
      <c r="X14" s="22" t="inlineStr">
        <is>
          <t>X</t>
        </is>
      </c>
      <c r="Y14" s="22" t="inlineStr">
        <is>
          <t>X</t>
        </is>
      </c>
      <c r="Z14" s="22" t="inlineStr">
        <is>
          <t>X</t>
        </is>
      </c>
      <c r="AA14" s="22" t="inlineStr">
        <is>
          <t>X</t>
        </is>
      </c>
      <c r="AB14" s="22" t="inlineStr">
        <is>
          <t>X</t>
        </is>
      </c>
      <c r="AC14" s="22" t="inlineStr">
        <is>
          <t>X</t>
        </is>
      </c>
    </row>
    <row r="15">
      <c r="A15" s="23" t="inlineStr">
        <is>
          <t>Spa / Activities Manager</t>
        </is>
      </c>
      <c r="B15" s="22" t="inlineStr">
        <is>
          <t>V</t>
        </is>
      </c>
      <c r="C15" s="22" t="inlineStr">
        <is>
          <t>X</t>
        </is>
      </c>
      <c r="D15" s="22" t="inlineStr">
        <is>
          <t>X</t>
        </is>
      </c>
      <c r="E15" s="22" t="inlineStr">
        <is>
          <t>X</t>
        </is>
      </c>
      <c r="F15" s="22" t="inlineStr">
        <is>
          <t>X</t>
        </is>
      </c>
      <c r="G15" s="22" t="inlineStr">
        <is>
          <t>V,C,E,D,A</t>
        </is>
      </c>
      <c r="H15" s="22" t="inlineStr">
        <is>
          <t>X</t>
        </is>
      </c>
      <c r="I15" s="22" t="inlineStr">
        <is>
          <t>X</t>
        </is>
      </c>
      <c r="J15" s="22" t="inlineStr">
        <is>
          <t>V,C,E,D,A</t>
        </is>
      </c>
      <c r="K15" s="22" t="inlineStr">
        <is>
          <t>V,C,E,D,A</t>
        </is>
      </c>
      <c r="L15" s="22" t="inlineStr">
        <is>
          <t>X</t>
        </is>
      </c>
      <c r="M15" s="22" t="inlineStr">
        <is>
          <t>X</t>
        </is>
      </c>
      <c r="N15" s="22" t="inlineStr">
        <is>
          <t>X</t>
        </is>
      </c>
      <c r="O15" s="22" t="inlineStr">
        <is>
          <t>X</t>
        </is>
      </c>
      <c r="P15" s="22" t="inlineStr">
        <is>
          <t>V,C,E,D,A</t>
        </is>
      </c>
      <c r="Q15" s="22" t="inlineStr">
        <is>
          <t>V,C,E,D,A</t>
        </is>
      </c>
      <c r="R15" s="22" t="inlineStr">
        <is>
          <t>X</t>
        </is>
      </c>
      <c r="S15" s="22" t="inlineStr">
        <is>
          <t>X</t>
        </is>
      </c>
      <c r="T15" s="22" t="inlineStr">
        <is>
          <t>X</t>
        </is>
      </c>
      <c r="U15" s="22" t="inlineStr">
        <is>
          <t>V</t>
        </is>
      </c>
      <c r="V15" s="22" t="inlineStr">
        <is>
          <t>X</t>
        </is>
      </c>
      <c r="W15" s="22" t="inlineStr">
        <is>
          <t>X</t>
        </is>
      </c>
      <c r="X15" s="22" t="inlineStr">
        <is>
          <t>X</t>
        </is>
      </c>
      <c r="Y15" s="22" t="inlineStr">
        <is>
          <t>X</t>
        </is>
      </c>
      <c r="Z15" s="22" t="inlineStr">
        <is>
          <t>X</t>
        </is>
      </c>
      <c r="AA15" s="22" t="inlineStr">
        <is>
          <t>X</t>
        </is>
      </c>
      <c r="AB15" s="22" t="inlineStr">
        <is>
          <t>X</t>
        </is>
      </c>
      <c r="AC15" s="22" t="inlineStr">
        <is>
          <t>X</t>
        </is>
      </c>
    </row>
    <row r="16">
      <c r="A16" s="23" t="inlineStr">
        <is>
          <t>Event Manager</t>
        </is>
      </c>
      <c r="B16" s="22" t="inlineStr">
        <is>
          <t>V</t>
        </is>
      </c>
      <c r="C16" s="22" t="inlineStr">
        <is>
          <t>X</t>
        </is>
      </c>
      <c r="D16" s="22" t="inlineStr">
        <is>
          <t>X</t>
        </is>
      </c>
      <c r="E16" s="22" t="inlineStr">
        <is>
          <t>X</t>
        </is>
      </c>
      <c r="F16" s="22" t="inlineStr">
        <is>
          <t>X</t>
        </is>
      </c>
      <c r="G16" s="22" t="inlineStr">
        <is>
          <t>V,C,E,D,A</t>
        </is>
      </c>
      <c r="H16" s="22" t="inlineStr">
        <is>
          <t>X</t>
        </is>
      </c>
      <c r="I16" s="22" t="inlineStr">
        <is>
          <t>X</t>
        </is>
      </c>
      <c r="J16" s="22" t="inlineStr">
        <is>
          <t>X</t>
        </is>
      </c>
      <c r="K16" s="22" t="inlineStr">
        <is>
          <t>X</t>
        </is>
      </c>
      <c r="L16" s="22" t="inlineStr">
        <is>
          <t>V,C,E,D,A</t>
        </is>
      </c>
      <c r="M16" s="22" t="inlineStr">
        <is>
          <t>X</t>
        </is>
      </c>
      <c r="N16" s="22" t="inlineStr">
        <is>
          <t>X</t>
        </is>
      </c>
      <c r="O16" s="22" t="inlineStr">
        <is>
          <t>V,C,E,D,A</t>
        </is>
      </c>
      <c r="P16" s="22" t="inlineStr">
        <is>
          <t>X</t>
        </is>
      </c>
      <c r="Q16" s="22" t="inlineStr">
        <is>
          <t>V,C,E,D,A</t>
        </is>
      </c>
      <c r="R16" s="22" t="inlineStr">
        <is>
          <t>X</t>
        </is>
      </c>
      <c r="S16" s="22" t="inlineStr">
        <is>
          <t>X</t>
        </is>
      </c>
      <c r="T16" s="22" t="inlineStr">
        <is>
          <t>X</t>
        </is>
      </c>
      <c r="U16" s="22" t="inlineStr">
        <is>
          <t>V</t>
        </is>
      </c>
      <c r="V16" s="22" t="inlineStr">
        <is>
          <t>V,C,E,D,A</t>
        </is>
      </c>
      <c r="W16" s="22" t="inlineStr">
        <is>
          <t>X</t>
        </is>
      </c>
      <c r="X16" s="22" t="inlineStr">
        <is>
          <t>X</t>
        </is>
      </c>
      <c r="Y16" s="22" t="inlineStr">
        <is>
          <t>X</t>
        </is>
      </c>
      <c r="Z16" s="22" t="inlineStr">
        <is>
          <t>X</t>
        </is>
      </c>
      <c r="AA16" s="22" t="inlineStr">
        <is>
          <t>X</t>
        </is>
      </c>
      <c r="AB16" s="22" t="inlineStr">
        <is>
          <t>X</t>
        </is>
      </c>
      <c r="AC16" s="22" t="inlineStr">
        <is>
          <t>X</t>
        </is>
      </c>
    </row>
    <row r="17">
      <c r="A17" s="23" t="inlineStr">
        <is>
          <t>Transport Manager / Driver</t>
        </is>
      </c>
      <c r="B17" s="22" t="inlineStr">
        <is>
          <t>V</t>
        </is>
      </c>
      <c r="C17" s="22" t="inlineStr">
        <is>
          <t>X</t>
        </is>
      </c>
      <c r="D17" s="22" t="inlineStr">
        <is>
          <t>X</t>
        </is>
      </c>
      <c r="E17" s="22" t="inlineStr">
        <is>
          <t>X</t>
        </is>
      </c>
      <c r="F17" s="22" t="inlineStr">
        <is>
          <t>X</t>
        </is>
      </c>
      <c r="G17" s="22" t="inlineStr">
        <is>
          <t>V,C,E</t>
        </is>
      </c>
      <c r="H17" s="22" t="inlineStr">
        <is>
          <t>X</t>
        </is>
      </c>
      <c r="I17" s="22" t="inlineStr">
        <is>
          <t>X</t>
        </is>
      </c>
      <c r="J17" s="22" t="inlineStr">
        <is>
          <t>X</t>
        </is>
      </c>
      <c r="K17" s="22" t="inlineStr">
        <is>
          <t>X</t>
        </is>
      </c>
      <c r="L17" s="22" t="inlineStr">
        <is>
          <t>X</t>
        </is>
      </c>
      <c r="M17" s="22" t="inlineStr">
        <is>
          <t>V,C,E</t>
        </is>
      </c>
      <c r="N17" s="22" t="inlineStr">
        <is>
          <t>X</t>
        </is>
      </c>
      <c r="O17" s="22" t="inlineStr">
        <is>
          <t>X</t>
        </is>
      </c>
      <c r="P17" s="22" t="inlineStr">
        <is>
          <t>V,C,E</t>
        </is>
      </c>
      <c r="Q17" s="22" t="inlineStr">
        <is>
          <t>V,C,E</t>
        </is>
      </c>
      <c r="R17" s="22" t="inlineStr">
        <is>
          <t>X</t>
        </is>
      </c>
      <c r="S17" s="22" t="inlineStr">
        <is>
          <t>X</t>
        </is>
      </c>
      <c r="T17" s="22" t="inlineStr">
        <is>
          <t>X</t>
        </is>
      </c>
      <c r="U17" s="22" t="inlineStr">
        <is>
          <t>V</t>
        </is>
      </c>
      <c r="V17" s="22" t="inlineStr">
        <is>
          <t>X</t>
        </is>
      </c>
      <c r="W17" s="22" t="inlineStr">
        <is>
          <t>X</t>
        </is>
      </c>
      <c r="X17" s="22" t="inlineStr">
        <is>
          <t>X</t>
        </is>
      </c>
      <c r="Y17" s="22" t="inlineStr">
        <is>
          <t>X</t>
        </is>
      </c>
      <c r="Z17" s="22" t="inlineStr">
        <is>
          <t>X</t>
        </is>
      </c>
      <c r="AA17" s="22" t="inlineStr">
        <is>
          <t>X</t>
        </is>
      </c>
      <c r="AB17" s="22" t="inlineStr">
        <is>
          <t>X</t>
        </is>
      </c>
      <c r="AC17" s="22" t="inlineStr">
        <is>
          <t>X</t>
        </is>
      </c>
    </row>
    <row r="18">
      <c r="A18" s="23" t="inlineStr">
        <is>
          <t>Engineering Manager / Technician</t>
        </is>
      </c>
      <c r="B18" s="22" t="inlineStr">
        <is>
          <t>V</t>
        </is>
      </c>
      <c r="C18" s="22" t="inlineStr">
        <is>
          <t>X</t>
        </is>
      </c>
      <c r="D18" s="22" t="inlineStr">
        <is>
          <t>X</t>
        </is>
      </c>
      <c r="E18" s="22" t="inlineStr">
        <is>
          <t>X</t>
        </is>
      </c>
      <c r="F18" s="22" t="inlineStr">
        <is>
          <t>V,C,E,D,A</t>
        </is>
      </c>
      <c r="G18" s="22" t="inlineStr">
        <is>
          <t>X</t>
        </is>
      </c>
      <c r="H18" s="22" t="inlineStr">
        <is>
          <t>X</t>
        </is>
      </c>
      <c r="I18" s="22" t="inlineStr">
        <is>
          <t>X</t>
        </is>
      </c>
      <c r="J18" s="22" t="inlineStr">
        <is>
          <t>X</t>
        </is>
      </c>
      <c r="K18" s="22" t="inlineStr">
        <is>
          <t>X</t>
        </is>
      </c>
      <c r="L18" s="22" t="inlineStr">
        <is>
          <t>X</t>
        </is>
      </c>
      <c r="M18" s="22" t="inlineStr">
        <is>
          <t>X</t>
        </is>
      </c>
      <c r="N18" s="22" t="inlineStr">
        <is>
          <t>V,C,E,D,A</t>
        </is>
      </c>
      <c r="O18" s="22" t="inlineStr">
        <is>
          <t>V,C,E,D,A</t>
        </is>
      </c>
      <c r="P18" s="22" t="inlineStr">
        <is>
          <t>V,C,E,D,A</t>
        </is>
      </c>
      <c r="Q18" s="22" t="inlineStr">
        <is>
          <t>X</t>
        </is>
      </c>
      <c r="R18" s="22" t="inlineStr">
        <is>
          <t>X</t>
        </is>
      </c>
      <c r="S18" s="22" t="inlineStr">
        <is>
          <t>X</t>
        </is>
      </c>
      <c r="T18" s="22" t="inlineStr">
        <is>
          <t>X</t>
        </is>
      </c>
      <c r="U18" s="22" t="inlineStr">
        <is>
          <t>V</t>
        </is>
      </c>
      <c r="V18" s="22" t="inlineStr">
        <is>
          <t>X</t>
        </is>
      </c>
      <c r="W18" s="22" t="inlineStr">
        <is>
          <t>X</t>
        </is>
      </c>
      <c r="X18" s="22" t="inlineStr">
        <is>
          <t>X</t>
        </is>
      </c>
      <c r="Y18" s="22" t="inlineStr">
        <is>
          <t>X</t>
        </is>
      </c>
      <c r="Z18" s="22" t="inlineStr">
        <is>
          <t>X</t>
        </is>
      </c>
      <c r="AA18" s="22" t="inlineStr">
        <is>
          <t>X</t>
        </is>
      </c>
      <c r="AB18" s="22" t="inlineStr">
        <is>
          <t>X</t>
        </is>
      </c>
      <c r="AC18" s="22" t="inlineStr">
        <is>
          <t>X</t>
        </is>
      </c>
    </row>
    <row r="19">
      <c r="A19" s="23" t="inlineStr">
        <is>
          <t>Store / Purchase Manager</t>
        </is>
      </c>
      <c r="B19" s="22" t="inlineStr">
        <is>
          <t>V</t>
        </is>
      </c>
      <c r="C19" s="22" t="inlineStr">
        <is>
          <t>X</t>
        </is>
      </c>
      <c r="D19" s="22" t="inlineStr">
        <is>
          <t>X</t>
        </is>
      </c>
      <c r="E19" s="22" t="inlineStr">
        <is>
          <t>X</t>
        </is>
      </c>
      <c r="F19" s="22" t="inlineStr">
        <is>
          <t>X</t>
        </is>
      </c>
      <c r="G19" s="22" t="inlineStr">
        <is>
          <t>X</t>
        </is>
      </c>
      <c r="H19" s="22" t="inlineStr">
        <is>
          <t>V,C,E,D,A</t>
        </is>
      </c>
      <c r="I19" s="22" t="inlineStr">
        <is>
          <t>X</t>
        </is>
      </c>
      <c r="J19" s="22" t="inlineStr">
        <is>
          <t>X</t>
        </is>
      </c>
      <c r="K19" s="22" t="inlineStr">
        <is>
          <t>X</t>
        </is>
      </c>
      <c r="L19" s="22" t="inlineStr">
        <is>
          <t>X</t>
        </is>
      </c>
      <c r="M19" s="22" t="inlineStr">
        <is>
          <t>X</t>
        </is>
      </c>
      <c r="N19" s="22" t="inlineStr">
        <is>
          <t>V,C,E,D,A</t>
        </is>
      </c>
      <c r="O19" s="22" t="inlineStr">
        <is>
          <t>V,C,E,D,A</t>
        </is>
      </c>
      <c r="P19" s="22" t="inlineStr">
        <is>
          <t>X</t>
        </is>
      </c>
      <c r="Q19" s="22" t="inlineStr">
        <is>
          <t>V,C,E,D,A</t>
        </is>
      </c>
      <c r="R19" s="22" t="inlineStr">
        <is>
          <t>V,C,E,D,A</t>
        </is>
      </c>
      <c r="S19" s="22" t="inlineStr">
        <is>
          <t>X</t>
        </is>
      </c>
      <c r="T19" s="22" t="inlineStr">
        <is>
          <t>X</t>
        </is>
      </c>
      <c r="U19" s="22" t="inlineStr">
        <is>
          <t>V</t>
        </is>
      </c>
      <c r="V19" s="22" t="inlineStr">
        <is>
          <t>X</t>
        </is>
      </c>
      <c r="W19" s="22" t="inlineStr">
        <is>
          <t>X</t>
        </is>
      </c>
      <c r="X19" s="22" t="inlineStr">
        <is>
          <t>X</t>
        </is>
      </c>
      <c r="Y19" s="22" t="inlineStr">
        <is>
          <t>X</t>
        </is>
      </c>
      <c r="Z19" s="22" t="inlineStr">
        <is>
          <t>X</t>
        </is>
      </c>
      <c r="AA19" s="22" t="inlineStr">
        <is>
          <t>X</t>
        </is>
      </c>
      <c r="AB19" s="22" t="inlineStr">
        <is>
          <t>X</t>
        </is>
      </c>
      <c r="AC19" s="22" t="inlineStr">
        <is>
          <t>X</t>
        </is>
      </c>
    </row>
    <row r="20">
      <c r="A20" s="23" t="inlineStr">
        <is>
          <t>Finance Manager / Night Auditor</t>
        </is>
      </c>
      <c r="B20" s="22" t="inlineStr">
        <is>
          <t>V</t>
        </is>
      </c>
      <c r="C20" s="22" t="inlineStr">
        <is>
          <t>X</t>
        </is>
      </c>
      <c r="D20" s="22" t="inlineStr">
        <is>
          <t>V,C,E,D,A</t>
        </is>
      </c>
      <c r="E20" s="22" t="inlineStr">
        <is>
          <t>X</t>
        </is>
      </c>
      <c r="F20" s="22" t="inlineStr">
        <is>
          <t>X</t>
        </is>
      </c>
      <c r="G20" s="22" t="inlineStr">
        <is>
          <t>X</t>
        </is>
      </c>
      <c r="H20" s="22" t="inlineStr">
        <is>
          <t>V,C,E,D,A</t>
        </is>
      </c>
      <c r="I20" s="22" t="inlineStr">
        <is>
          <t>X</t>
        </is>
      </c>
      <c r="J20" s="22" t="inlineStr">
        <is>
          <t>X</t>
        </is>
      </c>
      <c r="K20" s="22" t="inlineStr">
        <is>
          <t>X</t>
        </is>
      </c>
      <c r="L20" s="22" t="inlineStr">
        <is>
          <t>X</t>
        </is>
      </c>
      <c r="M20" s="22" t="inlineStr">
        <is>
          <t>X</t>
        </is>
      </c>
      <c r="N20" s="22" t="inlineStr">
        <is>
          <t>X</t>
        </is>
      </c>
      <c r="O20" s="22" t="inlineStr">
        <is>
          <t>X</t>
        </is>
      </c>
      <c r="P20" s="22" t="inlineStr">
        <is>
          <t>X</t>
        </is>
      </c>
      <c r="Q20" s="22" t="inlineStr">
        <is>
          <t>V,C,E,D,A</t>
        </is>
      </c>
      <c r="R20" s="22" t="inlineStr">
        <is>
          <t>V,C,E,D,A</t>
        </is>
      </c>
      <c r="S20" s="22" t="inlineStr">
        <is>
          <t>X</t>
        </is>
      </c>
      <c r="T20" s="22" t="inlineStr">
        <is>
          <t>X</t>
        </is>
      </c>
      <c r="U20" s="22" t="inlineStr">
        <is>
          <t>V,C,E,D,A</t>
        </is>
      </c>
      <c r="V20" s="22" t="inlineStr">
        <is>
          <t>X</t>
        </is>
      </c>
      <c r="W20" s="22" t="inlineStr">
        <is>
          <t>V,C,E,D,A</t>
        </is>
      </c>
      <c r="X20" s="22" t="inlineStr">
        <is>
          <t>X</t>
        </is>
      </c>
      <c r="Y20" s="22" t="inlineStr">
        <is>
          <t>X</t>
        </is>
      </c>
      <c r="Z20" s="22" t="inlineStr">
        <is>
          <t>X</t>
        </is>
      </c>
      <c r="AA20" s="22" t="inlineStr">
        <is>
          <t>X</t>
        </is>
      </c>
      <c r="AB20" s="22" t="inlineStr">
        <is>
          <t>X</t>
        </is>
      </c>
      <c r="AC20" s="22" t="inlineStr">
        <is>
          <t>X</t>
        </is>
      </c>
    </row>
    <row r="21">
      <c r="A21" s="23" t="inlineStr">
        <is>
          <t>Revenue Manager</t>
        </is>
      </c>
      <c r="B21" s="22" t="inlineStr">
        <is>
          <t>V</t>
        </is>
      </c>
      <c r="C21" s="22" t="inlineStr">
        <is>
          <t>X</t>
        </is>
      </c>
      <c r="D21" s="22" t="inlineStr">
        <is>
          <t>V,C,E,D,A</t>
        </is>
      </c>
      <c r="E21" s="22" t="inlineStr">
        <is>
          <t>X</t>
        </is>
      </c>
      <c r="F21" s="22" t="inlineStr">
        <is>
          <t>X</t>
        </is>
      </c>
      <c r="G21" s="22" t="inlineStr">
        <is>
          <t>X</t>
        </is>
      </c>
      <c r="H21" s="22" t="inlineStr">
        <is>
          <t>X</t>
        </is>
      </c>
      <c r="I21" s="22" t="inlineStr">
        <is>
          <t>X</t>
        </is>
      </c>
      <c r="J21" s="22" t="inlineStr">
        <is>
          <t>X</t>
        </is>
      </c>
      <c r="K21" s="22" t="inlineStr">
        <is>
          <t>X</t>
        </is>
      </c>
      <c r="L21" s="22" t="inlineStr">
        <is>
          <t>X</t>
        </is>
      </c>
      <c r="M21" s="22" t="inlineStr">
        <is>
          <t>X</t>
        </is>
      </c>
      <c r="N21" s="22" t="inlineStr">
        <is>
          <t>X</t>
        </is>
      </c>
      <c r="O21" s="22" t="inlineStr">
        <is>
          <t>X</t>
        </is>
      </c>
      <c r="P21" s="22" t="inlineStr">
        <is>
          <t>X</t>
        </is>
      </c>
      <c r="Q21" s="22" t="inlineStr">
        <is>
          <t>X</t>
        </is>
      </c>
      <c r="R21" s="22" t="inlineStr">
        <is>
          <t>X</t>
        </is>
      </c>
      <c r="S21" s="22" t="inlineStr">
        <is>
          <t>V,C,E,D,A</t>
        </is>
      </c>
      <c r="T21" s="22" t="inlineStr">
        <is>
          <t>X</t>
        </is>
      </c>
      <c r="U21" s="22" t="inlineStr">
        <is>
          <t>V,C,E,D,A</t>
        </is>
      </c>
      <c r="V21" s="22" t="inlineStr">
        <is>
          <t>X</t>
        </is>
      </c>
      <c r="W21" s="22" t="inlineStr">
        <is>
          <t>V,C,E,D,A</t>
        </is>
      </c>
      <c r="X21" s="22" t="inlineStr">
        <is>
          <t>X</t>
        </is>
      </c>
      <c r="Y21" s="22" t="inlineStr">
        <is>
          <t>X</t>
        </is>
      </c>
      <c r="Z21" s="22" t="inlineStr">
        <is>
          <t>X</t>
        </is>
      </c>
      <c r="AA21" s="22" t="inlineStr">
        <is>
          <t>V,C,E,D,A</t>
        </is>
      </c>
      <c r="AB21" s="22" t="inlineStr">
        <is>
          <t>X</t>
        </is>
      </c>
      <c r="AC21" s="22" t="inlineStr">
        <is>
          <t>X</t>
        </is>
      </c>
    </row>
    <row r="22">
      <c r="A22" s="23" t="inlineStr">
        <is>
          <t>CRM / Sales Manager</t>
        </is>
      </c>
      <c r="B22" s="22" t="inlineStr">
        <is>
          <t>V</t>
        </is>
      </c>
      <c r="C22" s="22" t="inlineStr">
        <is>
          <t>X</t>
        </is>
      </c>
      <c r="D22" s="22" t="inlineStr">
        <is>
          <t>X</t>
        </is>
      </c>
      <c r="E22" s="22" t="inlineStr">
        <is>
          <t>X</t>
        </is>
      </c>
      <c r="F22" s="22" t="inlineStr">
        <is>
          <t>X</t>
        </is>
      </c>
      <c r="G22" s="22" t="inlineStr">
        <is>
          <t>V,C,E,D,A</t>
        </is>
      </c>
      <c r="H22" s="22" t="inlineStr">
        <is>
          <t>X</t>
        </is>
      </c>
      <c r="I22" s="22" t="inlineStr">
        <is>
          <t>X</t>
        </is>
      </c>
      <c r="J22" s="22" t="inlineStr">
        <is>
          <t>X</t>
        </is>
      </c>
      <c r="K22" s="22" t="inlineStr">
        <is>
          <t>X</t>
        </is>
      </c>
      <c r="L22" s="22" t="inlineStr">
        <is>
          <t>V,C,E,D,A</t>
        </is>
      </c>
      <c r="M22" s="22" t="inlineStr">
        <is>
          <t>X</t>
        </is>
      </c>
      <c r="N22" s="22" t="inlineStr">
        <is>
          <t>X</t>
        </is>
      </c>
      <c r="O22" s="22" t="inlineStr">
        <is>
          <t>X</t>
        </is>
      </c>
      <c r="P22" s="22" t="inlineStr">
        <is>
          <t>X</t>
        </is>
      </c>
      <c r="Q22" s="22" t="inlineStr">
        <is>
          <t>X</t>
        </is>
      </c>
      <c r="R22" s="22" t="inlineStr">
        <is>
          <t>X</t>
        </is>
      </c>
      <c r="S22" s="22" t="inlineStr">
        <is>
          <t>X</t>
        </is>
      </c>
      <c r="T22" s="22" t="inlineStr">
        <is>
          <t>X</t>
        </is>
      </c>
      <c r="U22" s="22" t="inlineStr">
        <is>
          <t>V</t>
        </is>
      </c>
      <c r="V22" s="22" t="inlineStr">
        <is>
          <t>V,C,E,D,A</t>
        </is>
      </c>
      <c r="W22" s="22" t="inlineStr">
        <is>
          <t>X</t>
        </is>
      </c>
      <c r="X22" s="22" t="inlineStr">
        <is>
          <t>X</t>
        </is>
      </c>
      <c r="Y22" s="22" t="inlineStr">
        <is>
          <t>V,C,E,D,A</t>
        </is>
      </c>
      <c r="Z22" s="22" t="inlineStr">
        <is>
          <t>X</t>
        </is>
      </c>
      <c r="AA22" s="22" t="inlineStr">
        <is>
          <t>V,C,E,D,A</t>
        </is>
      </c>
      <c r="AB22" s="22" t="inlineStr">
        <is>
          <t>V,C,E,D,A</t>
        </is>
      </c>
      <c r="AC22" s="22" t="inlineStr">
        <is>
          <t>X</t>
        </is>
      </c>
    </row>
    <row r="23">
      <c r="A23" s="23" t="inlineStr">
        <is>
          <t>HR Manager</t>
        </is>
      </c>
      <c r="B23" s="22" t="inlineStr">
        <is>
          <t>V</t>
        </is>
      </c>
      <c r="C23" s="22" t="inlineStr">
        <is>
          <t>X</t>
        </is>
      </c>
      <c r="D23" s="22" t="inlineStr">
        <is>
          <t>X</t>
        </is>
      </c>
      <c r="E23" s="22" t="inlineStr">
        <is>
          <t>X</t>
        </is>
      </c>
      <c r="F23" s="22" t="inlineStr">
        <is>
          <t>X</t>
        </is>
      </c>
      <c r="G23" s="22" t="inlineStr">
        <is>
          <t>X</t>
        </is>
      </c>
      <c r="H23" s="22" t="inlineStr">
        <is>
          <t>X</t>
        </is>
      </c>
      <c r="I23" s="22" t="inlineStr">
        <is>
          <t>X</t>
        </is>
      </c>
      <c r="J23" s="22" t="inlineStr">
        <is>
          <t>X</t>
        </is>
      </c>
      <c r="K23" s="22" t="inlineStr">
        <is>
          <t>X</t>
        </is>
      </c>
      <c r="L23" s="22" t="inlineStr">
        <is>
          <t>X</t>
        </is>
      </c>
      <c r="M23" s="22" t="inlineStr">
        <is>
          <t>X</t>
        </is>
      </c>
      <c r="N23" s="22" t="inlineStr">
        <is>
          <t>X</t>
        </is>
      </c>
      <c r="O23" s="22" t="inlineStr">
        <is>
          <t>X</t>
        </is>
      </c>
      <c r="P23" s="22" t="inlineStr">
        <is>
          <t>V,C,E,D,A</t>
        </is>
      </c>
      <c r="Q23" s="22" t="inlineStr">
        <is>
          <t>X</t>
        </is>
      </c>
      <c r="R23" s="22" t="inlineStr">
        <is>
          <t>X</t>
        </is>
      </c>
      <c r="S23" s="22" t="inlineStr">
        <is>
          <t>X</t>
        </is>
      </c>
      <c r="T23" s="22" t="inlineStr">
        <is>
          <t>V,C,E,D,A</t>
        </is>
      </c>
      <c r="U23" s="22" t="inlineStr">
        <is>
          <t>V,C,E,D,A</t>
        </is>
      </c>
      <c r="V23" s="22" t="inlineStr">
        <is>
          <t>X</t>
        </is>
      </c>
      <c r="W23" s="22" t="inlineStr">
        <is>
          <t>X</t>
        </is>
      </c>
      <c r="X23" s="22" t="inlineStr">
        <is>
          <t>X</t>
        </is>
      </c>
      <c r="Y23" s="22" t="inlineStr">
        <is>
          <t>X</t>
        </is>
      </c>
      <c r="Z23" s="22" t="inlineStr">
        <is>
          <t>X</t>
        </is>
      </c>
      <c r="AA23" s="22" t="inlineStr">
        <is>
          <t>X</t>
        </is>
      </c>
      <c r="AB23" s="22" t="inlineStr">
        <is>
          <t>X</t>
        </is>
      </c>
      <c r="AC23" s="22" t="inlineStr">
        <is>
          <t>X</t>
        </is>
      </c>
    </row>
    <row r="24">
      <c r="A24" s="23" t="inlineStr">
        <is>
          <t>Auditor</t>
        </is>
      </c>
      <c r="B24" s="22" t="inlineStr">
        <is>
          <t>X</t>
        </is>
      </c>
      <c r="C24" s="22" t="inlineStr">
        <is>
          <t>X</t>
        </is>
      </c>
      <c r="D24" s="22" t="inlineStr">
        <is>
          <t>X</t>
        </is>
      </c>
      <c r="E24" s="22" t="inlineStr">
        <is>
          <t>X</t>
        </is>
      </c>
      <c r="F24" s="22" t="inlineStr">
        <is>
          <t>X</t>
        </is>
      </c>
      <c r="G24" s="22" t="inlineStr">
        <is>
          <t>X</t>
        </is>
      </c>
      <c r="H24" s="22" t="inlineStr">
        <is>
          <t>X</t>
        </is>
      </c>
      <c r="I24" s="22" t="inlineStr">
        <is>
          <t>X</t>
        </is>
      </c>
      <c r="J24" s="22" t="inlineStr">
        <is>
          <t>X</t>
        </is>
      </c>
      <c r="K24" s="22" t="inlineStr">
        <is>
          <t>X</t>
        </is>
      </c>
      <c r="L24" s="22" t="inlineStr">
        <is>
          <t>X</t>
        </is>
      </c>
      <c r="M24" s="22" t="inlineStr">
        <is>
          <t>X</t>
        </is>
      </c>
      <c r="N24" s="22" t="inlineStr">
        <is>
          <t>X</t>
        </is>
      </c>
      <c r="O24" s="22" t="inlineStr">
        <is>
          <t>X</t>
        </is>
      </c>
      <c r="P24" s="22" t="inlineStr">
        <is>
          <t>X</t>
        </is>
      </c>
      <c r="Q24" s="22" t="inlineStr">
        <is>
          <t>V</t>
        </is>
      </c>
      <c r="R24" s="22" t="inlineStr">
        <is>
          <t>X</t>
        </is>
      </c>
      <c r="S24" s="22" t="inlineStr">
        <is>
          <t>X</t>
        </is>
      </c>
      <c r="T24" s="22" t="inlineStr">
        <is>
          <t>V</t>
        </is>
      </c>
      <c r="U24" s="22" t="inlineStr">
        <is>
          <t>V</t>
        </is>
      </c>
      <c r="V24" s="22" t="inlineStr">
        <is>
          <t>X</t>
        </is>
      </c>
      <c r="W24" s="22" t="inlineStr">
        <is>
          <t>X</t>
        </is>
      </c>
      <c r="X24" s="22" t="inlineStr">
        <is>
          <t>X</t>
        </is>
      </c>
      <c r="Y24" s="22" t="inlineStr">
        <is>
          <t>X</t>
        </is>
      </c>
      <c r="Z24" s="22" t="inlineStr">
        <is>
          <t>X</t>
        </is>
      </c>
      <c r="AA24" s="22" t="inlineStr">
        <is>
          <t>X</t>
        </is>
      </c>
      <c r="AB24" s="22" t="inlineStr">
        <is>
          <t>X</t>
        </is>
      </c>
      <c r="AC24" s="22" t="inlineStr">
        <is>
          <t>X</t>
        </is>
      </c>
    </row>
    <row r="25">
      <c r="A25" s="23" t="inlineStr">
        <is>
          <t>Guest</t>
        </is>
      </c>
      <c r="B25" s="22" t="inlineStr">
        <is>
          <t>X</t>
        </is>
      </c>
      <c r="C25" s="22" t="inlineStr">
        <is>
          <t>X</t>
        </is>
      </c>
      <c r="D25" s="22" t="inlineStr">
        <is>
          <t>X</t>
        </is>
      </c>
      <c r="E25" s="22" t="inlineStr">
        <is>
          <t>X</t>
        </is>
      </c>
      <c r="F25" s="22" t="inlineStr">
        <is>
          <t>X</t>
        </is>
      </c>
      <c r="G25" s="22" t="inlineStr">
        <is>
          <t>X</t>
        </is>
      </c>
      <c r="H25" s="22" t="inlineStr">
        <is>
          <t>X</t>
        </is>
      </c>
      <c r="I25" s="22" t="inlineStr">
        <is>
          <t>S</t>
        </is>
      </c>
      <c r="J25" s="22" t="inlineStr">
        <is>
          <t>S</t>
        </is>
      </c>
      <c r="K25" s="22" t="inlineStr">
        <is>
          <t>S</t>
        </is>
      </c>
      <c r="L25" s="22" t="inlineStr">
        <is>
          <t>X</t>
        </is>
      </c>
      <c r="M25" s="22" t="inlineStr">
        <is>
          <t>S</t>
        </is>
      </c>
      <c r="N25" s="22" t="inlineStr">
        <is>
          <t>X</t>
        </is>
      </c>
      <c r="O25" s="22" t="inlineStr">
        <is>
          <t>X</t>
        </is>
      </c>
      <c r="P25" s="22" t="inlineStr">
        <is>
          <t>X</t>
        </is>
      </c>
      <c r="Q25" s="22" t="inlineStr">
        <is>
          <t>X</t>
        </is>
      </c>
      <c r="R25" s="22" t="inlineStr">
        <is>
          <t>X</t>
        </is>
      </c>
      <c r="S25" s="22" t="inlineStr">
        <is>
          <t>X</t>
        </is>
      </c>
      <c r="T25" s="22" t="inlineStr">
        <is>
          <t>X</t>
        </is>
      </c>
      <c r="U25" s="22" t="inlineStr">
        <is>
          <t>X</t>
        </is>
      </c>
      <c r="V25" s="22" t="inlineStr">
        <is>
          <t>X</t>
        </is>
      </c>
      <c r="W25" s="22" t="inlineStr">
        <is>
          <t>X</t>
        </is>
      </c>
      <c r="X25" s="22" t="inlineStr">
        <is>
          <t>X</t>
        </is>
      </c>
      <c r="Y25" s="22" t="inlineStr">
        <is>
          <t>X</t>
        </is>
      </c>
      <c r="Z25" s="22" t="inlineStr">
        <is>
          <t>S</t>
        </is>
      </c>
      <c r="AA25" s="22" t="inlineStr">
        <is>
          <t>X</t>
        </is>
      </c>
      <c r="AB25" s="22" t="inlineStr">
        <is>
          <t>X</t>
        </is>
      </c>
      <c r="AC25" s="22" t="inlineStr">
        <is>
          <t>X</t>
        </is>
      </c>
    </row>
    <row r="26">
      <c r="A26" s="23" t="inlineStr">
        <is>
          <t>Travel Agent / Corporate Booker</t>
        </is>
      </c>
      <c r="B26" s="22" t="inlineStr">
        <is>
          <t>X</t>
        </is>
      </c>
      <c r="C26" s="22" t="inlineStr">
        <is>
          <t>X</t>
        </is>
      </c>
      <c r="D26" s="22" t="inlineStr">
        <is>
          <t>S</t>
        </is>
      </c>
      <c r="E26" s="22" t="inlineStr">
        <is>
          <t>X</t>
        </is>
      </c>
      <c r="F26" s="22" t="inlineStr">
        <is>
          <t>X</t>
        </is>
      </c>
      <c r="G26" s="22" t="inlineStr">
        <is>
          <t>X</t>
        </is>
      </c>
      <c r="H26" s="22" t="inlineStr">
        <is>
          <t>X</t>
        </is>
      </c>
      <c r="I26" s="22" t="inlineStr">
        <is>
          <t>X</t>
        </is>
      </c>
      <c r="J26" s="22" t="inlineStr">
        <is>
          <t>X</t>
        </is>
      </c>
      <c r="K26" s="22" t="inlineStr">
        <is>
          <t>X</t>
        </is>
      </c>
      <c r="L26" s="22" t="inlineStr">
        <is>
          <t>X</t>
        </is>
      </c>
      <c r="M26" s="22" t="inlineStr">
        <is>
          <t>X</t>
        </is>
      </c>
      <c r="N26" s="22" t="inlineStr">
        <is>
          <t>X</t>
        </is>
      </c>
      <c r="O26" s="22" t="inlineStr">
        <is>
          <t>X</t>
        </is>
      </c>
      <c r="P26" s="22" t="inlineStr">
        <is>
          <t>X</t>
        </is>
      </c>
      <c r="Q26" s="22" t="inlineStr">
        <is>
          <t>X</t>
        </is>
      </c>
      <c r="R26" s="22" t="inlineStr">
        <is>
          <t>X</t>
        </is>
      </c>
      <c r="S26" s="22" t="inlineStr">
        <is>
          <t>X</t>
        </is>
      </c>
      <c r="T26" s="22" t="inlineStr">
        <is>
          <t>X</t>
        </is>
      </c>
      <c r="U26" s="22" t="inlineStr">
        <is>
          <t>X</t>
        </is>
      </c>
      <c r="V26" s="22" t="inlineStr">
        <is>
          <t>S</t>
        </is>
      </c>
      <c r="W26" s="22" t="inlineStr">
        <is>
          <t>X</t>
        </is>
      </c>
      <c r="X26" s="22" t="inlineStr">
        <is>
          <t>X</t>
        </is>
      </c>
      <c r="Y26" s="22" t="inlineStr">
        <is>
          <t>X</t>
        </is>
      </c>
      <c r="Z26" s="22" t="inlineStr">
        <is>
          <t>X</t>
        </is>
      </c>
      <c r="AA26" s="22" t="inlineStr">
        <is>
          <t>S</t>
        </is>
      </c>
      <c r="AB26" s="22" t="inlineStr">
        <is>
          <t>X</t>
        </is>
      </c>
      <c r="AC26" s="22" t="inlineStr">
        <is>
          <t>X</t>
        </is>
      </c>
    </row>
    <row r="27">
      <c r="A27" s="23" t="inlineStr">
        <is>
          <t>AI / Integration Admin</t>
        </is>
      </c>
      <c r="B27" s="22" t="inlineStr">
        <is>
          <t>V</t>
        </is>
      </c>
      <c r="C27" s="22" t="inlineStr">
        <is>
          <t>X</t>
        </is>
      </c>
      <c r="D27" s="22" t="inlineStr">
        <is>
          <t>X</t>
        </is>
      </c>
      <c r="E27" s="22" t="inlineStr">
        <is>
          <t>X</t>
        </is>
      </c>
      <c r="F27" s="22" t="inlineStr">
        <is>
          <t>X</t>
        </is>
      </c>
      <c r="G27" s="22" t="inlineStr">
        <is>
          <t>X</t>
        </is>
      </c>
      <c r="H27" s="22" t="inlineStr">
        <is>
          <t>X</t>
        </is>
      </c>
      <c r="I27" s="22" t="inlineStr">
        <is>
          <t>X</t>
        </is>
      </c>
      <c r="J27" s="22" t="inlineStr">
        <is>
          <t>X</t>
        </is>
      </c>
      <c r="K27" s="22" t="inlineStr">
        <is>
          <t>X</t>
        </is>
      </c>
      <c r="L27" s="22" t="inlineStr">
        <is>
          <t>X</t>
        </is>
      </c>
      <c r="M27" s="22" t="inlineStr">
        <is>
          <t>X</t>
        </is>
      </c>
      <c r="N27" s="22" t="inlineStr">
        <is>
          <t>X</t>
        </is>
      </c>
      <c r="O27" s="22" t="inlineStr">
        <is>
          <t>X</t>
        </is>
      </c>
      <c r="P27" s="22" t="inlineStr">
        <is>
          <t>X</t>
        </is>
      </c>
      <c r="Q27" s="22" t="inlineStr">
        <is>
          <t>X</t>
        </is>
      </c>
      <c r="R27" s="22" t="inlineStr">
        <is>
          <t>X</t>
        </is>
      </c>
      <c r="S27" s="22" t="inlineStr">
        <is>
          <t>X</t>
        </is>
      </c>
      <c r="T27" s="22" t="inlineStr">
        <is>
          <t>V,C,E,D,A</t>
        </is>
      </c>
      <c r="U27" s="22" t="inlineStr">
        <is>
          <t>V</t>
        </is>
      </c>
      <c r="V27" s="22" t="inlineStr">
        <is>
          <t>X</t>
        </is>
      </c>
      <c r="W27" s="22" t="inlineStr">
        <is>
          <t>X</t>
        </is>
      </c>
      <c r="X27" s="22" t="inlineStr">
        <is>
          <t>V,C,E,D,A</t>
        </is>
      </c>
      <c r="Y27" s="22" t="inlineStr">
        <is>
          <t>V,C,E,D,A</t>
        </is>
      </c>
      <c r="Z27" s="22" t="inlineStr">
        <is>
          <t>X</t>
        </is>
      </c>
      <c r="AA27" s="22" t="inlineStr">
        <is>
          <t>X</t>
        </is>
      </c>
      <c r="AB27" s="22" t="inlineStr">
        <is>
          <t>X</t>
        </is>
      </c>
      <c r="AC27" s="22" t="inlineStr">
        <is>
          <t>V,C,E,D,A</t>
        </is>
      </c>
    </row>
  </sheetData>
  <mergeCells count="2">
    <mergeCell ref="A2:AD2"/>
    <mergeCell ref="A1:AD1"/>
  </mergeCells>
  <conditionalFormatting sqref="B5:AC27">
    <cfRule type="containsText" priority="1" operator="containsText" dxfId="10" text="X"/>
    <cfRule type="containsText" priority="2" operator="containsText" dxfId="5" text="A"/>
  </conditionalFormatting>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H31"/>
  <sheetViews>
    <sheetView showGridLines="0" workbookViewId="0">
      <selection activeCell="A1" sqref="A1"/>
    </sheetView>
  </sheetViews>
  <sheetFormatPr baseColWidth="8" defaultRowHeight="14"/>
  <cols>
    <col width="24" customWidth="1" style="43" min="1" max="1"/>
    <col width="27" customWidth="1" style="43" min="2" max="2"/>
    <col width="30" customWidth="1" style="43" min="3" max="3"/>
    <col width="48" customWidth="1" style="43" min="4" max="4"/>
    <col width="42" customWidth="1" style="43" min="5" max="6"/>
    <col width="48" customWidth="1" style="43" min="7" max="7"/>
    <col width="15" customWidth="1" style="43" min="8" max="8"/>
  </cols>
  <sheetData>
    <row r="1" ht="30" customHeight="1" s="43">
      <c r="A1" s="50" t="inlineStr">
        <is>
          <t>API, Data Entity &amp; Integration Mapping</t>
        </is>
      </c>
    </row>
    <row r="3" ht="28" customHeight="1" s="43">
      <c r="A3" s="1" t="inlineStr">
        <is>
          <t>Module</t>
        </is>
      </c>
      <c r="B3" s="2" t="inlineStr">
        <is>
          <t>Service / Bounded Context</t>
        </is>
      </c>
      <c r="C3" s="2" t="inlineStr">
        <is>
          <t>Core API Pattern</t>
        </is>
      </c>
      <c r="D3" s="2" t="inlineStr">
        <is>
          <t>Core Data Entities</t>
        </is>
      </c>
      <c r="E3" s="2" t="inlineStr">
        <is>
          <t>Domain Events</t>
        </is>
      </c>
      <c r="F3" s="2" t="inlineStr">
        <is>
          <t>External Integrations</t>
        </is>
      </c>
      <c r="G3" s="2" t="inlineStr">
        <is>
          <t>Security &amp; Audit</t>
        </is>
      </c>
      <c r="H3" s="3" t="inlineStr">
        <is>
          <t>Implementation Status</t>
        </is>
      </c>
    </row>
    <row r="4" ht="28" customHeight="1" s="43">
      <c r="A4" s="4" t="inlineStr">
        <is>
          <t>Overview</t>
        </is>
      </c>
      <c r="B4" s="4" t="inlineStr">
        <is>
          <t>Overview Service</t>
        </is>
      </c>
      <c r="C4" s="4" t="inlineStr">
        <is>
          <t>/api/v1/overview/*</t>
        </is>
      </c>
      <c r="D4" s="4" t="inlineStr">
        <is>
          <t>dashboard_snapshots, operational_metrics</t>
        </is>
      </c>
      <c r="E4" s="4" t="inlineStr">
        <is>
          <t>overview.created; overview.updated; overview.status_changed</t>
        </is>
      </c>
      <c r="F4" s="4" t="inlineStr">
        <is>
          <t>Internal event bus and notification service</t>
        </is>
      </c>
      <c r="G4" s="4" t="inlineStr">
        <is>
          <t>Tenant/property scope; RBAC; encryption; idempotency; audit correlation ID</t>
        </is>
      </c>
      <c r="H4" s="4" t="inlineStr">
        <is>
          <t>Not Started</t>
        </is>
      </c>
    </row>
    <row r="5" ht="28" customHeight="1" s="43">
      <c r="A5" s="4" t="inlineStr">
        <is>
          <t>Front Desk</t>
        </is>
      </c>
      <c r="B5" s="4" t="inlineStr">
        <is>
          <t>Front Desk Service</t>
        </is>
      </c>
      <c r="C5" s="4" t="inlineStr">
        <is>
          <t>/api/v1/front-desk/*</t>
        </is>
      </c>
      <c r="D5" s="4" t="inlineStr">
        <is>
          <t>stays, room_assignments, folios, keys</t>
        </is>
      </c>
      <c r="E5" s="4" t="inlineStr">
        <is>
          <t>front-desk.created; front-desk.updated; front-desk.status_changed</t>
        </is>
      </c>
      <c r="F5" s="4" t="inlineStr">
        <is>
          <t>Internal event bus and notification service</t>
        </is>
      </c>
      <c r="G5" s="4" t="inlineStr">
        <is>
          <t>Tenant/property scope; RBAC; encryption; idempotency; audit correlation ID</t>
        </is>
      </c>
      <c r="H5" s="4" t="inlineStr">
        <is>
          <t>Not Started</t>
        </is>
      </c>
    </row>
    <row r="6" ht="28" customHeight="1" s="43">
      <c r="A6" s="4" t="inlineStr">
        <is>
          <t>Reservations</t>
        </is>
      </c>
      <c r="B6" s="4" t="inlineStr">
        <is>
          <t>Reservations Service</t>
        </is>
      </c>
      <c r="C6" s="4" t="inlineStr">
        <is>
          <t>/api/v1/reservations/*</t>
        </is>
      </c>
      <c r="D6" s="4" t="inlineStr">
        <is>
          <t>reservations, reservation_guests, reservation_items, deposits</t>
        </is>
      </c>
      <c r="E6" s="4" t="inlineStr">
        <is>
          <t>reservations.created; reservations.updated; reservations.status_changed</t>
        </is>
      </c>
      <c r="F6" s="4" t="inlineStr">
        <is>
          <t>Internal event bus and notification service</t>
        </is>
      </c>
      <c r="G6" s="4" t="inlineStr">
        <is>
          <t>Tenant/property scope; RBAC; encryption; idempotency; audit correlation ID</t>
        </is>
      </c>
      <c r="H6" s="4" t="inlineStr">
        <is>
          <t>Not Started</t>
        </is>
      </c>
    </row>
    <row r="7" ht="28" customHeight="1" s="43">
      <c r="A7" s="4" t="inlineStr">
        <is>
          <t>Housekeeping</t>
        </is>
      </c>
      <c r="B7" s="4" t="inlineStr">
        <is>
          <t>Housekeeping Service</t>
        </is>
      </c>
      <c r="C7" s="4" t="inlineStr">
        <is>
          <t>/api/v1/housekeeping/*</t>
        </is>
      </c>
      <c r="D7" s="4" t="inlineStr">
        <is>
          <t>housekeeping_tasks, room_status_logs, lost_found, linen_movements, minibar_postings</t>
        </is>
      </c>
      <c r="E7" s="4" t="inlineStr">
        <is>
          <t>housekeeping.created; housekeeping.updated; housekeeping.status_changed</t>
        </is>
      </c>
      <c r="F7" s="4" t="inlineStr">
        <is>
          <t>Internal event bus and notification service</t>
        </is>
      </c>
      <c r="G7" s="4" t="inlineStr">
        <is>
          <t>Tenant/property scope; RBAC; encryption; idempotency; audit correlation ID</t>
        </is>
      </c>
      <c r="H7" s="4" t="inlineStr">
        <is>
          <t>Not Started</t>
        </is>
      </c>
    </row>
    <row r="8" ht="28" customHeight="1" s="43">
      <c r="A8" s="4" t="inlineStr">
        <is>
          <t>Property &amp; Rooms</t>
        </is>
      </c>
      <c r="B8" s="4" t="inlineStr">
        <is>
          <t>Property &amp; Rooms Service</t>
        </is>
      </c>
      <c r="C8" s="4" t="inlineStr">
        <is>
          <t>/api/v1/property-rooms/*</t>
        </is>
      </c>
      <c r="D8" s="4" t="inlineStr">
        <is>
          <t>properties, buildings, floors, room_types, rooms, amenities</t>
        </is>
      </c>
      <c r="E8" s="4" t="inlineStr">
        <is>
          <t>property-rooms.created; property-rooms.updated; property-rooms.status_changed</t>
        </is>
      </c>
      <c r="F8" s="4" t="inlineStr">
        <is>
          <t>Internal event bus and notification service</t>
        </is>
      </c>
      <c r="G8" s="4" t="inlineStr">
        <is>
          <t>Tenant/property scope; RBAC; encryption; idempotency; audit correlation ID</t>
        </is>
      </c>
      <c r="H8" s="4" t="inlineStr">
        <is>
          <t>Not Started</t>
        </is>
      </c>
    </row>
    <row r="9" ht="28" customHeight="1" s="43">
      <c r="A9" s="4" t="inlineStr">
        <is>
          <t>Guest CRM</t>
        </is>
      </c>
      <c r="B9" s="4" t="inlineStr">
        <is>
          <t>Guest CRM Service</t>
        </is>
      </c>
      <c r="C9" s="4" t="inlineStr">
        <is>
          <t>/api/v1/guest-crm/*</t>
        </is>
      </c>
      <c r="D9" s="4" t="inlineStr">
        <is>
          <t>guests, guest_preferences, consents, documents, loyalty_accounts</t>
        </is>
      </c>
      <c r="E9" s="4" t="inlineStr">
        <is>
          <t>guest-crm.created; guest-crm.updated; guest-crm.status_changed</t>
        </is>
      </c>
      <c r="F9" s="4" t="inlineStr">
        <is>
          <t>Internal event bus and notification service</t>
        </is>
      </c>
      <c r="G9" s="4" t="inlineStr">
        <is>
          <t>Tenant/property scope; RBAC; encryption; idempotency; audit correlation ID</t>
        </is>
      </c>
      <c r="H9" s="4" t="inlineStr">
        <is>
          <t>Not Started</t>
        </is>
      </c>
    </row>
    <row r="10" ht="28" customHeight="1" s="43">
      <c r="A10" s="4" t="inlineStr">
        <is>
          <t>Food &amp; Beverage</t>
        </is>
      </c>
      <c r="B10" s="4" t="inlineStr">
        <is>
          <t>Food &amp; Beverage Service</t>
        </is>
      </c>
      <c r="C10" s="4" t="inlineStr">
        <is>
          <t>/api/v1/food-beverage/*</t>
        </is>
      </c>
      <c r="D10" s="4" t="inlineStr">
        <is>
          <t>outlets, tables, menu_items, pos_orders, pos_bills, kitchen_tickets</t>
        </is>
      </c>
      <c r="E10" s="4" t="inlineStr">
        <is>
          <t>food-beverage.created; food-beverage.updated; food-beverage.status_changed</t>
        </is>
      </c>
      <c r="F10" s="4" t="inlineStr">
        <is>
          <t>Internal event bus and notification service</t>
        </is>
      </c>
      <c r="G10" s="4" t="inlineStr">
        <is>
          <t>Tenant/property scope; RBAC; encryption; idempotency; audit correlation ID</t>
        </is>
      </c>
      <c r="H10" s="4" t="inlineStr">
        <is>
          <t>Not Started</t>
        </is>
      </c>
    </row>
    <row r="11" ht="28" customHeight="1" s="43">
      <c r="A11" s="4" t="inlineStr">
        <is>
          <t>Guest Services</t>
        </is>
      </c>
      <c r="B11" s="4" t="inlineStr">
        <is>
          <t>Guest Services Service</t>
        </is>
      </c>
      <c r="C11" s="4" t="inlineStr">
        <is>
          <t>/api/v1/guest-services/*</t>
        </is>
      </c>
      <c r="D11" s="4" t="inlineStr">
        <is>
          <t>service_requests, service_tasks, guest_notes</t>
        </is>
      </c>
      <c r="E11" s="4" t="inlineStr">
        <is>
          <t>guest-services.created; guest-services.updated; guest-services.status_changed</t>
        </is>
      </c>
      <c r="F11" s="4" t="inlineStr">
        <is>
          <t>Internal event bus and notification service</t>
        </is>
      </c>
      <c r="G11" s="4" t="inlineStr">
        <is>
          <t>Tenant/property scope; RBAC; encryption; idempotency; audit correlation ID</t>
        </is>
      </c>
      <c r="H11" s="4" t="inlineStr">
        <is>
          <t>Not Started</t>
        </is>
      </c>
    </row>
    <row r="12" ht="28" customHeight="1" s="43">
      <c r="A12" s="4" t="inlineStr">
        <is>
          <t>Activities</t>
        </is>
      </c>
      <c r="B12" s="4" t="inlineStr">
        <is>
          <t>Activities Service</t>
        </is>
      </c>
      <c r="C12" s="4" t="inlineStr">
        <is>
          <t>/api/v1/activities/*</t>
        </is>
      </c>
      <c r="D12" s="4" t="inlineStr">
        <is>
          <t>activities, activity_slots, activity_bookings</t>
        </is>
      </c>
      <c r="E12" s="4" t="inlineStr">
        <is>
          <t>activities.created; activities.updated; activities.status_changed</t>
        </is>
      </c>
      <c r="F12" s="4" t="inlineStr">
        <is>
          <t>Internal event bus and notification service</t>
        </is>
      </c>
      <c r="G12" s="4" t="inlineStr">
        <is>
          <t>Tenant/property scope; RBAC; encryption; idempotency; audit correlation ID</t>
        </is>
      </c>
      <c r="H12" s="4" t="inlineStr">
        <is>
          <t>Not Started</t>
        </is>
      </c>
    </row>
    <row r="13" ht="28" customHeight="1" s="43">
      <c r="A13" s="4" t="inlineStr">
        <is>
          <t>Spa</t>
        </is>
      </c>
      <c r="B13" s="4" t="inlineStr">
        <is>
          <t>Spa Service</t>
        </is>
      </c>
      <c r="C13" s="4" t="inlineStr">
        <is>
          <t>/api/v1/spa/*</t>
        </is>
      </c>
      <c r="D13" s="4" t="inlineStr">
        <is>
          <t>treatments, spa_resources, spa_appointments</t>
        </is>
      </c>
      <c r="E13" s="4" t="inlineStr">
        <is>
          <t>spa.created; spa.updated; spa.status_changed</t>
        </is>
      </c>
      <c r="F13" s="4" t="inlineStr">
        <is>
          <t>Internal event bus and notification service</t>
        </is>
      </c>
      <c r="G13" s="4" t="inlineStr">
        <is>
          <t>Tenant/property scope; RBAC; encryption; idempotency; audit correlation ID</t>
        </is>
      </c>
      <c r="H13" s="4" t="inlineStr">
        <is>
          <t>Not Started</t>
        </is>
      </c>
    </row>
    <row r="14" ht="42" customHeight="1" s="43">
      <c r="A14" s="4" t="inlineStr">
        <is>
          <t>Events &amp; Banquets</t>
        </is>
      </c>
      <c r="B14" s="4" t="inlineStr">
        <is>
          <t>Events &amp; Banquets Service</t>
        </is>
      </c>
      <c r="C14" s="4" t="inlineStr">
        <is>
          <t>/api/v1/events-banquets/*</t>
        </is>
      </c>
      <c r="D14" s="4" t="inlineStr">
        <is>
          <t>event_leads, quotations, events, function_sheets</t>
        </is>
      </c>
      <c r="E14" s="4" t="inlineStr">
        <is>
          <t>events-banquets.created; events-banquets.updated; events-banquets.status_changed</t>
        </is>
      </c>
      <c r="F14" s="4" t="inlineStr">
        <is>
          <t>Internal event bus and notification service</t>
        </is>
      </c>
      <c r="G14" s="4" t="inlineStr">
        <is>
          <t>Tenant/property scope; RBAC; encryption; idempotency; audit correlation ID</t>
        </is>
      </c>
      <c r="H14" s="4" t="inlineStr">
        <is>
          <t>Not Started</t>
        </is>
      </c>
    </row>
    <row r="15" ht="28" customHeight="1" s="43">
      <c r="A15" s="4" t="inlineStr">
        <is>
          <t>Transport</t>
        </is>
      </c>
      <c r="B15" s="4" t="inlineStr">
        <is>
          <t>Transport Service</t>
        </is>
      </c>
      <c r="C15" s="4" t="inlineStr">
        <is>
          <t>/api/v1/transport/*</t>
        </is>
      </c>
      <c r="D15" s="4" t="inlineStr">
        <is>
          <t>vehicles, drivers, transport_bookings, trips</t>
        </is>
      </c>
      <c r="E15" s="4" t="inlineStr">
        <is>
          <t>transport.created; transport.updated; transport.status_changed</t>
        </is>
      </c>
      <c r="F15" s="4" t="inlineStr">
        <is>
          <t>Internal event bus and notification service</t>
        </is>
      </c>
      <c r="G15" s="4" t="inlineStr">
        <is>
          <t>Tenant/property scope; RBAC; encryption; idempotency; audit correlation ID</t>
        </is>
      </c>
      <c r="H15" s="4" t="inlineStr">
        <is>
          <t>Not Started</t>
        </is>
      </c>
    </row>
    <row r="16" ht="28" customHeight="1" s="43">
      <c r="A16" s="4" t="inlineStr">
        <is>
          <t>Maintenance</t>
        </is>
      </c>
      <c r="B16" s="4" t="inlineStr">
        <is>
          <t>Maintenance Service</t>
        </is>
      </c>
      <c r="C16" s="4" t="inlineStr">
        <is>
          <t>/api/v1/maintenance/*</t>
        </is>
      </c>
      <c r="D16" s="4" t="inlineStr">
        <is>
          <t>assets, maintenance_work_orders, preventive_plans</t>
        </is>
      </c>
      <c r="E16" s="4" t="inlineStr">
        <is>
          <t>maintenance.created; maintenance.updated; maintenance.status_changed</t>
        </is>
      </c>
      <c r="F16" s="4" t="inlineStr">
        <is>
          <t>Internal event bus and notification service</t>
        </is>
      </c>
      <c r="G16" s="4" t="inlineStr">
        <is>
          <t>Tenant/property scope; RBAC; encryption; idempotency; audit correlation ID</t>
        </is>
      </c>
      <c r="H16" s="4" t="inlineStr">
        <is>
          <t>Not Started</t>
        </is>
      </c>
    </row>
    <row r="17" ht="28" customHeight="1" s="43">
      <c r="A17" s="4" t="inlineStr">
        <is>
          <t>Inventory</t>
        </is>
      </c>
      <c r="B17" s="4" t="inlineStr">
        <is>
          <t>Inventory Service</t>
        </is>
      </c>
      <c r="C17" s="4" t="inlineStr">
        <is>
          <t>/api/v1/inventory/*</t>
        </is>
      </c>
      <c r="D17" s="4" t="inlineStr">
        <is>
          <t>inventory_items, warehouses, stock_ledger, stock_adjustments</t>
        </is>
      </c>
      <c r="E17" s="4" t="inlineStr">
        <is>
          <t>inventory.created; inventory.updated; inventory.status_changed</t>
        </is>
      </c>
      <c r="F17" s="4" t="inlineStr">
        <is>
          <t>Internal event bus and notification service</t>
        </is>
      </c>
      <c r="G17" s="4" t="inlineStr">
        <is>
          <t>Tenant/property scope; RBAC; encryption; idempotency; audit correlation ID</t>
        </is>
      </c>
      <c r="H17" s="4" t="inlineStr">
        <is>
          <t>Not Started</t>
        </is>
      </c>
    </row>
    <row r="18" ht="28" customHeight="1" s="43">
      <c r="A18" s="4" t="inlineStr">
        <is>
          <t>Workforce</t>
        </is>
      </c>
      <c r="B18" s="4" t="inlineStr">
        <is>
          <t>Workforce Service</t>
        </is>
      </c>
      <c r="C18" s="4" t="inlineStr">
        <is>
          <t>/api/v1/workforce/*</t>
        </is>
      </c>
      <c r="D18" s="4" t="inlineStr">
        <is>
          <t>employees, shifts, rosters, attendance, leave_requests</t>
        </is>
      </c>
      <c r="E18" s="4" t="inlineStr">
        <is>
          <t>workforce.created; workforce.updated; workforce.status_changed</t>
        </is>
      </c>
      <c r="F18" s="4" t="inlineStr">
        <is>
          <t>Internal event bus and notification service</t>
        </is>
      </c>
      <c r="G18" s="4" t="inlineStr">
        <is>
          <t>Tenant/property scope; RBAC; encryption; idempotency; audit correlation ID</t>
        </is>
      </c>
      <c r="H18" s="4" t="inlineStr">
        <is>
          <t>Not Started</t>
        </is>
      </c>
    </row>
    <row r="19" ht="28" customHeight="1" s="43">
      <c r="A19" s="4" t="inlineStr">
        <is>
          <t>Finance</t>
        </is>
      </c>
      <c r="B19" s="4" t="inlineStr">
        <is>
          <t>Finance Service</t>
        </is>
      </c>
      <c r="C19" s="4" t="inlineStr">
        <is>
          <t>/api/v1/finance/*</t>
        </is>
      </c>
      <c r="D19" s="4" t="inlineStr">
        <is>
          <t>folios, payments, refunds, invoices, credit_notes, cash_drawers, taxes, receivables</t>
        </is>
      </c>
      <c r="E19" s="4" t="inlineStr">
        <is>
          <t>finance.created; finance.updated; finance.status_changed</t>
        </is>
      </c>
      <c r="F19" s="4" t="inlineStr">
        <is>
          <t>Payment gateway / accounting</t>
        </is>
      </c>
      <c r="G19" s="4" t="inlineStr">
        <is>
          <t>Tenant/property scope; RBAC; encryption; idempotency; audit correlation ID</t>
        </is>
      </c>
      <c r="H19" s="4" t="inlineStr">
        <is>
          <t>Not Started</t>
        </is>
      </c>
    </row>
    <row r="20" ht="28" customHeight="1" s="43">
      <c r="A20" s="4" t="inlineStr">
        <is>
          <t>Purchasing</t>
        </is>
      </c>
      <c r="B20" s="4" t="inlineStr">
        <is>
          <t>Purchasing Service</t>
        </is>
      </c>
      <c r="C20" s="4" t="inlineStr">
        <is>
          <t>/api/v1/purchasing/*</t>
        </is>
      </c>
      <c r="D20" s="4" t="inlineStr">
        <is>
          <t>suppliers, requisitions, purchase_orders, goods_receipts, supplier_returns</t>
        </is>
      </c>
      <c r="E20" s="4" t="inlineStr">
        <is>
          <t>purchasing.created; purchasing.updated; purchasing.status_changed</t>
        </is>
      </c>
      <c r="F20" s="4" t="inlineStr">
        <is>
          <t>Internal event bus and notification service</t>
        </is>
      </c>
      <c r="G20" s="4" t="inlineStr">
        <is>
          <t>Tenant/property scope; RBAC; encryption; idempotency; audit correlation ID</t>
        </is>
      </c>
      <c r="H20" s="4" t="inlineStr">
        <is>
          <t>Not Started</t>
        </is>
      </c>
    </row>
    <row r="21" ht="28" customHeight="1" s="43">
      <c r="A21" s="4" t="inlineStr">
        <is>
          <t>Distribution</t>
        </is>
      </c>
      <c r="B21" s="4" t="inlineStr">
        <is>
          <t>Distribution Service</t>
        </is>
      </c>
      <c r="C21" s="4" t="inlineStr">
        <is>
          <t>/api/v1/distribution/*</t>
        </is>
      </c>
      <c r="D21" s="4" t="inlineStr">
        <is>
          <t>channels, channel_mappings, sync_jobs, restrictions</t>
        </is>
      </c>
      <c r="E21" s="4" t="inlineStr">
        <is>
          <t>distribution.created; distribution.updated; distribution.status_changed</t>
        </is>
      </c>
      <c r="F21" s="4" t="inlineStr">
        <is>
          <t>OTAs / channel APIs</t>
        </is>
      </c>
      <c r="G21" s="4" t="inlineStr">
        <is>
          <t>Tenant/property scope; RBAC; encryption; idempotency; audit correlation ID</t>
        </is>
      </c>
      <c r="H21" s="4" t="inlineStr">
        <is>
          <t>Not Started</t>
        </is>
      </c>
    </row>
    <row r="22" ht="28" customHeight="1" s="43">
      <c r="A22" s="4" t="inlineStr">
        <is>
          <t>Administration</t>
        </is>
      </c>
      <c r="B22" s="4" t="inlineStr">
        <is>
          <t>Administration Service</t>
        </is>
      </c>
      <c r="C22" s="4" t="inlineStr">
        <is>
          <t>/api/v1/administration/*</t>
        </is>
      </c>
      <c r="D22" s="4" t="inlineStr">
        <is>
          <t>users, roles, permissions, approvals, audit_logs, templates, import_jobs</t>
        </is>
      </c>
      <c r="E22" s="4" t="inlineStr">
        <is>
          <t>administration.created; administration.updated; administration.status_changed</t>
        </is>
      </c>
      <c r="F22" s="4" t="inlineStr">
        <is>
          <t>Internal event bus and notification service</t>
        </is>
      </c>
      <c r="G22" s="4" t="inlineStr">
        <is>
          <t>Tenant/property scope; RBAC; encryption; idempotency; audit correlation ID</t>
        </is>
      </c>
      <c r="H22" s="4" t="inlineStr">
        <is>
          <t>Not Started</t>
        </is>
      </c>
    </row>
    <row r="23" ht="28" customHeight="1" s="43">
      <c r="A23" s="4" t="inlineStr">
        <is>
          <t>Analytics</t>
        </is>
      </c>
      <c r="B23" s="4" t="inlineStr">
        <is>
          <t>Analytics Service</t>
        </is>
      </c>
      <c r="C23" s="4" t="inlineStr">
        <is>
          <t>/api/v1/analytics/*</t>
        </is>
      </c>
      <c r="D23" s="4" t="inlineStr">
        <is>
          <t>report_definitions, report_runs, metric_snapshots</t>
        </is>
      </c>
      <c r="E23" s="4" t="inlineStr">
        <is>
          <t>analytics.created; analytics.updated; analytics.status_changed</t>
        </is>
      </c>
      <c r="F23" s="4" t="inlineStr">
        <is>
          <t>Internal event bus and notification service</t>
        </is>
      </c>
      <c r="G23" s="4" t="inlineStr">
        <is>
          <t>Tenant/property scope; RBAC; encryption; idempotency; audit correlation ID</t>
        </is>
      </c>
      <c r="H23" s="4" t="inlineStr">
        <is>
          <t>Not Started</t>
        </is>
      </c>
    </row>
    <row r="24" ht="28" customHeight="1" s="43">
      <c r="A24" s="4" t="inlineStr">
        <is>
          <t>Groups</t>
        </is>
      </c>
      <c r="B24" s="4" t="inlineStr">
        <is>
          <t>Groups Service</t>
        </is>
      </c>
      <c r="C24" s="4" t="inlineStr">
        <is>
          <t>/api/v1/groups/*</t>
        </is>
      </c>
      <c r="D24" s="4" t="inlineStr">
        <is>
          <t>group_bookings, rooming_lists, group_blocks</t>
        </is>
      </c>
      <c r="E24" s="4" t="inlineStr">
        <is>
          <t>groups.created; groups.updated; groups.status_changed</t>
        </is>
      </c>
      <c r="F24" s="4" t="inlineStr">
        <is>
          <t>Internal event bus and notification service</t>
        </is>
      </c>
      <c r="G24" s="4" t="inlineStr">
        <is>
          <t>Tenant/property scope; RBAC; encryption; idempotency; audit correlation ID</t>
        </is>
      </c>
      <c r="H24" s="4" t="inlineStr">
        <is>
          <t>Not Started</t>
        </is>
      </c>
    </row>
    <row r="25" ht="42" customHeight="1" s="43">
      <c r="A25" s="4" t="inlineStr">
        <is>
          <t>Revenue Management</t>
        </is>
      </c>
      <c r="B25" s="4" t="inlineStr">
        <is>
          <t>Revenue Management Service</t>
        </is>
      </c>
      <c r="C25" s="4" t="inlineStr">
        <is>
          <t>/api/v1/revenue-management/*</t>
        </is>
      </c>
      <c r="D25" s="4" t="inlineStr">
        <is>
          <t>rate_plans, rate_rules, packages, restrictions, inventory_controls</t>
        </is>
      </c>
      <c r="E25" s="4" t="inlineStr">
        <is>
          <t>revenue-management.created; revenue-management.updated; revenue-management.status_changed</t>
        </is>
      </c>
      <c r="F25" s="4" t="inlineStr">
        <is>
          <t>Internal event bus and notification service</t>
        </is>
      </c>
      <c r="G25" s="4" t="inlineStr">
        <is>
          <t>Tenant/property scope; RBAC; encryption; idempotency; audit correlation ID</t>
        </is>
      </c>
      <c r="H25" s="4" t="inlineStr">
        <is>
          <t>Not Started</t>
        </is>
      </c>
    </row>
    <row r="26" ht="28" customHeight="1" s="43">
      <c r="A26" s="4" t="inlineStr">
        <is>
          <t>AI &amp; Automation</t>
        </is>
      </c>
      <c r="B26" s="4" t="inlineStr">
        <is>
          <t>AI &amp; Automation Service</t>
        </is>
      </c>
      <c r="C26" s="4" t="inlineStr">
        <is>
          <t>/api/v1/ai-automation/*</t>
        </is>
      </c>
      <c r="D26" s="4" t="inlineStr">
        <is>
          <t>ai_agents, prompts, knowledge_documents, tool_policies, call_transcripts</t>
        </is>
      </c>
      <c r="E26" s="4" t="inlineStr">
        <is>
          <t>ai-automation.created; ai-automation.updated; ai-automation.status_changed</t>
        </is>
      </c>
      <c r="F26" s="4" t="inlineStr">
        <is>
          <t>LLM, STT/TTS, vector store and PMS tools</t>
        </is>
      </c>
      <c r="G26" s="4" t="inlineStr">
        <is>
          <t>Tenant/property scope; RBAC; encryption; idempotency; audit correlation ID</t>
        </is>
      </c>
      <c r="H26" s="4" t="inlineStr">
        <is>
          <t>Not Started</t>
        </is>
      </c>
    </row>
    <row r="27" ht="42" customHeight="1" s="43">
      <c r="A27" s="4" t="inlineStr">
        <is>
          <t>Communications</t>
        </is>
      </c>
      <c r="B27" s="4" t="inlineStr">
        <is>
          <t>Communications Service</t>
        </is>
      </c>
      <c r="C27" s="4" t="inlineStr">
        <is>
          <t>/api/v1/communications/*</t>
        </is>
      </c>
      <c r="D27" s="4" t="inlineStr">
        <is>
          <t>conversations, messages, templates, delivery_logs</t>
        </is>
      </c>
      <c r="E27" s="4" t="inlineStr">
        <is>
          <t>communications.created; communications.updated; communications.status_changed</t>
        </is>
      </c>
      <c r="F27" s="4" t="inlineStr">
        <is>
          <t>Email / SMS / WhatsApp / telephony</t>
        </is>
      </c>
      <c r="G27" s="4" t="inlineStr">
        <is>
          <t>Tenant/property scope; RBAC; encryption; idempotency; audit correlation ID</t>
        </is>
      </c>
      <c r="H27" s="4" t="inlineStr">
        <is>
          <t>Not Started</t>
        </is>
      </c>
    </row>
    <row r="28" ht="28" customHeight="1" s="43">
      <c r="A28" s="4" t="inlineStr">
        <is>
          <t>Guest Portal</t>
        </is>
      </c>
      <c r="B28" s="4" t="inlineStr">
        <is>
          <t>Guest Portal Service</t>
        </is>
      </c>
      <c r="C28" s="4" t="inlineStr">
        <is>
          <t>/api/v1/guest-portal/*</t>
        </is>
      </c>
      <c r="D28" s="4" t="inlineStr">
        <is>
          <t>portal_sessions, self_checkin_submissions, guest_requests</t>
        </is>
      </c>
      <c r="E28" s="4" t="inlineStr">
        <is>
          <t>guest-portal.created; guest-portal.updated; guest-portal.status_changed</t>
        </is>
      </c>
      <c r="F28" s="4" t="inlineStr">
        <is>
          <t>Internal event bus and notification service</t>
        </is>
      </c>
      <c r="G28" s="4" t="inlineStr">
        <is>
          <t>Tenant/property scope; RBAC; encryption; idempotency; audit correlation ID</t>
        </is>
      </c>
      <c r="H28" s="4" t="inlineStr">
        <is>
          <t>Not Started</t>
        </is>
      </c>
    </row>
    <row r="29" ht="28" customHeight="1" s="43">
      <c r="A29" s="4" t="inlineStr">
        <is>
          <t>Partner Portal</t>
        </is>
      </c>
      <c r="B29" s="4" t="inlineStr">
        <is>
          <t>Partner Portal Service</t>
        </is>
      </c>
      <c r="C29" s="4" t="inlineStr">
        <is>
          <t>/api/v1/partner-portal/*</t>
        </is>
      </c>
      <c r="D29" s="4" t="inlineStr">
        <is>
          <t>partner_accounts, portal_bookings, commissions</t>
        </is>
      </c>
      <c r="E29" s="4" t="inlineStr">
        <is>
          <t>partner-portal.created; partner-portal.updated; partner-portal.status_changed</t>
        </is>
      </c>
      <c r="F29" s="4" t="inlineStr">
        <is>
          <t>Internal event bus and notification service</t>
        </is>
      </c>
      <c r="G29" s="4" t="inlineStr">
        <is>
          <t>Tenant/property scope; RBAC; encryption; idempotency; audit correlation ID</t>
        </is>
      </c>
      <c r="H29" s="4" t="inlineStr">
        <is>
          <t>Not Started</t>
        </is>
      </c>
    </row>
    <row r="30" ht="28" customHeight="1" s="43">
      <c r="A30" s="4" t="inlineStr">
        <is>
          <t>Sales &amp; Marketing</t>
        </is>
      </c>
      <c r="B30" s="4" t="inlineStr">
        <is>
          <t>Sales &amp; Marketing Service</t>
        </is>
      </c>
      <c r="C30" s="4" t="inlineStr">
        <is>
          <t>/api/v1/sales-marketing/*</t>
        </is>
      </c>
      <c r="D30" s="4" t="inlineStr">
        <is>
          <t>campaigns, segments, journeys, campaign_events</t>
        </is>
      </c>
      <c r="E30" s="4" t="inlineStr">
        <is>
          <t>sales-marketing.created; sales-marketing.updated; sales-marketing.status_changed</t>
        </is>
      </c>
      <c r="F30" s="4" t="inlineStr">
        <is>
          <t>Internal event bus and notification service</t>
        </is>
      </c>
      <c r="G30" s="4" t="inlineStr">
        <is>
          <t>Tenant/property scope; RBAC; encryption; idempotency; audit correlation ID</t>
        </is>
      </c>
      <c r="H30" s="4" t="inlineStr">
        <is>
          <t>Not Started</t>
        </is>
      </c>
    </row>
    <row r="31" ht="28" customHeight="1" s="43">
      <c r="A31" s="4" t="inlineStr">
        <is>
          <t>Integrations</t>
        </is>
      </c>
      <c r="B31" s="4" t="inlineStr">
        <is>
          <t>Integrations Service</t>
        </is>
      </c>
      <c r="C31" s="4" t="inlineStr">
        <is>
          <t>/api/v1/integrations/*</t>
        </is>
      </c>
      <c r="D31" s="4" t="inlineStr">
        <is>
          <t>integrations, credentials, webhooks, sync_jobs</t>
        </is>
      </c>
      <c r="E31" s="4" t="inlineStr">
        <is>
          <t>integrations.created; integrations.updated; integrations.status_changed</t>
        </is>
      </c>
      <c r="F31" s="4" t="inlineStr">
        <is>
          <t>Webhooks, partner APIs and scheduled sync</t>
        </is>
      </c>
      <c r="G31" s="4" t="inlineStr">
        <is>
          <t>Tenant/property scope; RBAC; encryption; idempotency; audit correlation ID</t>
        </is>
      </c>
      <c r="H31" s="4" t="inlineStr">
        <is>
          <t>Not Started</t>
        </is>
      </c>
    </row>
  </sheetData>
  <mergeCells count="1">
    <mergeCell ref="A1:H1"/>
  </mergeCells>
  <conditionalFormatting sqref="H4:H31">
    <cfRule type="containsText" priority="1" operator="containsText" dxfId="5" text="Done"/>
    <cfRule type="containsText" priority="2" operator="containsText" dxfId="4" text="Blocked"/>
    <cfRule type="containsText" priority="3" operator="containsText" dxfId="3" text="In Progress"/>
  </conditionalFormatting>
  <dataValidations count="1">
    <dataValidation sqref="H4:H31" showDropDown="0" showInputMessage="0" showErrorMessage="0" allowBlank="0" type="list">
      <formula1>"Not Started,In Progress,Blocked,Done"</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M133"/>
  <sheetViews>
    <sheetView showGridLines="0" workbookViewId="0">
      <selection activeCell="A1" sqref="A1"/>
    </sheetView>
  </sheetViews>
  <sheetFormatPr baseColWidth="8" defaultRowHeight="14"/>
  <cols>
    <col width="11" customWidth="1" style="43" min="1" max="2"/>
    <col width="22" customWidth="1" style="43" min="3" max="3"/>
    <col width="31" customWidth="1" style="43" min="4" max="4"/>
    <col width="46" customWidth="1" style="43" min="5" max="5"/>
    <col width="38" customWidth="1" style="43" min="6" max="6"/>
    <col width="58" customWidth="1" style="43" min="7" max="7"/>
    <col width="52" customWidth="1" style="43" min="8" max="8"/>
    <col width="28" customWidth="1" style="43" min="9" max="9"/>
    <col width="12" customWidth="1" style="43" min="10" max="10"/>
    <col width="18" customWidth="1" style="43" min="11" max="11"/>
    <col width="12" customWidth="1" style="43" min="12" max="12"/>
    <col width="28" customWidth="1" style="43" min="13" max="13"/>
  </cols>
  <sheetData>
    <row r="1" ht="30" customHeight="1" s="43">
      <c r="A1" s="50" t="inlineStr">
        <is>
          <t>Screen Test &amp; Acceptance Tracker</t>
        </is>
      </c>
    </row>
    <row r="3">
      <c r="A3" s="1" t="inlineStr">
        <is>
          <t>Test ID</t>
        </is>
      </c>
      <c r="B3" s="2" t="inlineStr">
        <is>
          <t>Screen ID</t>
        </is>
      </c>
      <c r="C3" s="2" t="inlineStr">
        <is>
          <t>Module</t>
        </is>
      </c>
      <c r="D3" s="2" t="inlineStr">
        <is>
          <t>Screen Name</t>
        </is>
      </c>
      <c r="E3" s="2" t="inlineStr">
        <is>
          <t>Test Scenario</t>
        </is>
      </c>
      <c r="F3" s="2" t="inlineStr">
        <is>
          <t>Precondition</t>
        </is>
      </c>
      <c r="G3" s="2" t="inlineStr">
        <is>
          <t>Test Steps</t>
        </is>
      </c>
      <c r="H3" s="2" t="inlineStr">
        <is>
          <t>Expected Result</t>
        </is>
      </c>
      <c r="I3" s="2" t="inlineStr">
        <is>
          <t>Test Type</t>
        </is>
      </c>
      <c r="J3" s="2" t="inlineStr">
        <is>
          <t>Severity</t>
        </is>
      </c>
      <c r="K3" s="2" t="inlineStr">
        <is>
          <t>Owner</t>
        </is>
      </c>
      <c r="L3" s="2" t="inlineStr">
        <is>
          <t>Status</t>
        </is>
      </c>
      <c r="M3" s="3" t="inlineStr">
        <is>
          <t>Defect / Remarks</t>
        </is>
      </c>
    </row>
    <row r="4" ht="42" customHeight="1" s="43">
      <c r="A4" s="4" t="inlineStr">
        <is>
          <t>TC-001</t>
        </is>
      </c>
      <c r="B4" s="4" t="inlineStr">
        <is>
          <t>SCR-001</t>
        </is>
      </c>
      <c r="C4" s="4" t="inlineStr">
        <is>
          <t>Overview</t>
        </is>
      </c>
      <c r="D4" s="4" t="inlineStr">
        <is>
          <t>Operations Dashboard</t>
        </is>
      </c>
      <c r="E4" s="4" t="inlineStr">
        <is>
          <t>Complete primary Operations Dashboard workflow with valid data and verify one invalid/unauthorized path.</t>
        </is>
      </c>
      <c r="F4" s="4" t="inlineStr">
        <is>
          <t>Test property, role and dependent master data exist.</t>
        </is>
      </c>
      <c r="G4" s="4" t="inlineStr">
        <is>
          <t>1. Sign in with authorized role. 2. Open screen. 3. Search/create/edit/process primary record. 4. Validate status and related screen. 5. Verify audit.</t>
        </is>
      </c>
      <c r="H4" s="4" t="inlineStr">
        <is>
          <t>Valid action succeeds once; invalid/conflicting action is blocked; related data is consistent; audit contains actor, timestamp and reason.</t>
        </is>
      </c>
      <c r="I4" s="4" t="inlineStr">
        <is>
          <t>Functional + RBAC + Integration</t>
        </is>
      </c>
      <c r="J4" s="4" t="inlineStr">
        <is>
          <t>Critical</t>
        </is>
      </c>
      <c r="K4" s="4" t="n"/>
      <c r="L4" s="4" t="inlineStr">
        <is>
          <t>Not Run</t>
        </is>
      </c>
      <c r="M4" s="4" t="n"/>
    </row>
    <row r="5" ht="42" customHeight="1" s="43">
      <c r="A5" s="4" t="inlineStr">
        <is>
          <t>TC-002</t>
        </is>
      </c>
      <c r="B5" s="4" t="inlineStr">
        <is>
          <t>SCR-002</t>
        </is>
      </c>
      <c r="C5" s="4" t="inlineStr">
        <is>
          <t>Front Desk</t>
        </is>
      </c>
      <c r="D5" s="4" t="inlineStr">
        <is>
          <t>Room Rack</t>
        </is>
      </c>
      <c r="E5" s="4" t="inlineStr">
        <is>
          <t>Complete primary Room Rack workflow with valid data and verify one invalid/unauthorized path.</t>
        </is>
      </c>
      <c r="F5" s="4" t="inlineStr">
        <is>
          <t>Test property, role and dependent master data exist.</t>
        </is>
      </c>
      <c r="G5" s="4" t="inlineStr">
        <is>
          <t>1. Sign in with authorized role. 2. Open screen. 3. Search/create/edit/process primary record. 4. Validate status and related screen. 5. Verify audit.</t>
        </is>
      </c>
      <c r="H5" s="4" t="inlineStr">
        <is>
          <t>Valid action succeeds once; invalid/conflicting action is blocked; related data is consistent; audit contains actor, timestamp and reason.</t>
        </is>
      </c>
      <c r="I5" s="4" t="inlineStr">
        <is>
          <t>Functional + RBAC + Integration</t>
        </is>
      </c>
      <c r="J5" s="4" t="inlineStr">
        <is>
          <t>Critical</t>
        </is>
      </c>
      <c r="K5" s="4" t="n"/>
      <c r="L5" s="4" t="inlineStr">
        <is>
          <t>Not Run</t>
        </is>
      </c>
      <c r="M5" s="4" t="n"/>
    </row>
    <row r="6" ht="42" customHeight="1" s="43">
      <c r="A6" s="4" t="inlineStr">
        <is>
          <t>TC-003</t>
        </is>
      </c>
      <c r="B6" s="4" t="inlineStr">
        <is>
          <t>SCR-003</t>
        </is>
      </c>
      <c r="C6" s="4" t="inlineStr">
        <is>
          <t>Reservations</t>
        </is>
      </c>
      <c r="D6" s="4" t="inlineStr">
        <is>
          <t>Reservation Calendar</t>
        </is>
      </c>
      <c r="E6" s="4" t="inlineStr">
        <is>
          <t>Complete primary Reservation Calendar workflow with valid data and verify one invalid/unauthorized path.</t>
        </is>
      </c>
      <c r="F6" s="4" t="inlineStr">
        <is>
          <t>Test property, role and dependent master data exist.</t>
        </is>
      </c>
      <c r="G6" s="4" t="inlineStr">
        <is>
          <t>1. Sign in with authorized role. 2. Open screen. 3. Search/create/edit/process primary record. 4. Validate status and related screen. 5. Verify audit.</t>
        </is>
      </c>
      <c r="H6" s="4" t="inlineStr">
        <is>
          <t>Valid action succeeds once; invalid/conflicting action is blocked; related data is consistent; audit contains actor, timestamp and reason.</t>
        </is>
      </c>
      <c r="I6" s="4" t="inlineStr">
        <is>
          <t>Functional + RBAC + Integration</t>
        </is>
      </c>
      <c r="J6" s="4" t="inlineStr">
        <is>
          <t>Critical</t>
        </is>
      </c>
      <c r="K6" s="4" t="n"/>
      <c r="L6" s="4" t="inlineStr">
        <is>
          <t>Not Run</t>
        </is>
      </c>
      <c r="M6" s="4" t="n"/>
    </row>
    <row r="7" ht="42" customHeight="1" s="43">
      <c r="A7" s="4" t="inlineStr">
        <is>
          <t>TC-004</t>
        </is>
      </c>
      <c r="B7" s="4" t="inlineStr">
        <is>
          <t>SCR-004</t>
        </is>
      </c>
      <c r="C7" s="4" t="inlineStr">
        <is>
          <t>Reservations</t>
        </is>
      </c>
      <c r="D7" s="4" t="inlineStr">
        <is>
          <t>New Reservation</t>
        </is>
      </c>
      <c r="E7" s="4" t="inlineStr">
        <is>
          <t>Complete primary New Reservation workflow with valid data and verify one invalid/unauthorized path.</t>
        </is>
      </c>
      <c r="F7" s="4" t="inlineStr">
        <is>
          <t>Test property, role and dependent master data exist.</t>
        </is>
      </c>
      <c r="G7" s="4" t="inlineStr">
        <is>
          <t>1. Sign in with authorized role. 2. Open screen. 3. Search/create/edit/process primary record. 4. Validate status and related screen. 5. Verify audit.</t>
        </is>
      </c>
      <c r="H7" s="4" t="inlineStr">
        <is>
          <t>Valid action succeeds once; invalid/conflicting action is blocked; related data is consistent; audit contains actor, timestamp and reason.</t>
        </is>
      </c>
      <c r="I7" s="4" t="inlineStr">
        <is>
          <t>Functional + RBAC + Integration</t>
        </is>
      </c>
      <c r="J7" s="4" t="inlineStr">
        <is>
          <t>Critical</t>
        </is>
      </c>
      <c r="K7" s="4" t="n"/>
      <c r="L7" s="4" t="inlineStr">
        <is>
          <t>Not Run</t>
        </is>
      </c>
      <c r="M7" s="4" t="n"/>
    </row>
    <row r="8" ht="42" customHeight="1" s="43">
      <c r="A8" s="4" t="inlineStr">
        <is>
          <t>TC-005</t>
        </is>
      </c>
      <c r="B8" s="4" t="inlineStr">
        <is>
          <t>SCR-005</t>
        </is>
      </c>
      <c r="C8" s="4" t="inlineStr">
        <is>
          <t>Front Desk</t>
        </is>
      </c>
      <c r="D8" s="4" t="inlineStr">
        <is>
          <t>Guest Check-In</t>
        </is>
      </c>
      <c r="E8" s="4" t="inlineStr">
        <is>
          <t>Complete primary Guest Check-In workflow with valid data and verify one invalid/unauthorized path.</t>
        </is>
      </c>
      <c r="F8" s="4" t="inlineStr">
        <is>
          <t>Test property, role and dependent master data exist.</t>
        </is>
      </c>
      <c r="G8" s="4" t="inlineStr">
        <is>
          <t>1. Sign in with authorized role. 2. Open screen. 3. Search/create/edit/process primary record. 4. Validate status and related screen. 5. Verify audit.</t>
        </is>
      </c>
      <c r="H8" s="4" t="inlineStr">
        <is>
          <t>Valid action succeeds once; invalid/conflicting action is blocked; related data is consistent; audit contains actor, timestamp and reason.</t>
        </is>
      </c>
      <c r="I8" s="4" t="inlineStr">
        <is>
          <t>Functional + RBAC + Integration</t>
        </is>
      </c>
      <c r="J8" s="4" t="inlineStr">
        <is>
          <t>Critical</t>
        </is>
      </c>
      <c r="K8" s="4" t="n"/>
      <c r="L8" s="4" t="inlineStr">
        <is>
          <t>Not Run</t>
        </is>
      </c>
      <c r="M8" s="4" t="n"/>
    </row>
    <row r="9" ht="42" customHeight="1" s="43">
      <c r="A9" s="4" t="inlineStr">
        <is>
          <t>TC-006</t>
        </is>
      </c>
      <c r="B9" s="4" t="inlineStr">
        <is>
          <t>SCR-006</t>
        </is>
      </c>
      <c r="C9" s="4" t="inlineStr">
        <is>
          <t>Housekeeping</t>
        </is>
      </c>
      <c r="D9" s="4" t="inlineStr">
        <is>
          <t>Housekeeping Operations</t>
        </is>
      </c>
      <c r="E9" s="4" t="inlineStr">
        <is>
          <t>Complete primary Housekeeping Operations workflow with valid data and verify one invalid/unauthorized path.</t>
        </is>
      </c>
      <c r="F9" s="4" t="inlineStr">
        <is>
          <t>Test property, role and dependent master data exist.</t>
        </is>
      </c>
      <c r="G9" s="4" t="inlineStr">
        <is>
          <t>1. Sign in with authorized role. 2. Open screen. 3. Search/create/edit/process primary record. 4. Validate status and related screen. 5. Verify audit.</t>
        </is>
      </c>
      <c r="H9" s="4" t="inlineStr">
        <is>
          <t>Valid action succeeds once; invalid/conflicting action is blocked; related data is consistent; audit contains actor, timestamp and reason.</t>
        </is>
      </c>
      <c r="I9" s="4" t="inlineStr">
        <is>
          <t>Functional + RBAC + Integration</t>
        </is>
      </c>
      <c r="J9" s="4" t="inlineStr">
        <is>
          <t>Major</t>
        </is>
      </c>
      <c r="K9" s="4" t="n"/>
      <c r="L9" s="4" t="inlineStr">
        <is>
          <t>Not Run</t>
        </is>
      </c>
      <c r="M9" s="4" t="n"/>
    </row>
    <row r="10" ht="42" customHeight="1" s="43">
      <c r="A10" s="4" t="inlineStr">
        <is>
          <t>TC-007</t>
        </is>
      </c>
      <c r="B10" s="4" t="inlineStr">
        <is>
          <t>SCR-007</t>
        </is>
      </c>
      <c r="C10" s="4" t="inlineStr">
        <is>
          <t>Front Desk</t>
        </is>
      </c>
      <c r="D10" s="4" t="inlineStr">
        <is>
          <t>Guest Checkout Folio</t>
        </is>
      </c>
      <c r="E10" s="4" t="inlineStr">
        <is>
          <t>Complete primary Guest Checkout Folio workflow with valid data and verify one invalid/unauthorized path.</t>
        </is>
      </c>
      <c r="F10" s="4" t="inlineStr">
        <is>
          <t>Test property, role and dependent master data exist.</t>
        </is>
      </c>
      <c r="G10" s="4" t="inlineStr">
        <is>
          <t>1. Sign in with authorized role. 2. Open screen. 3. Search/create/edit/process primary record. 4. Validate status and related screen. 5. Verify audit.</t>
        </is>
      </c>
      <c r="H10" s="4" t="inlineStr">
        <is>
          <t>Valid action succeeds once; invalid/conflicting action is blocked; related data is consistent; audit contains actor, timestamp and reason.</t>
        </is>
      </c>
      <c r="I10" s="4" t="inlineStr">
        <is>
          <t>Functional + RBAC + Integration</t>
        </is>
      </c>
      <c r="J10" s="4" t="inlineStr">
        <is>
          <t>Critical</t>
        </is>
      </c>
      <c r="K10" s="4" t="n"/>
      <c r="L10" s="4" t="inlineStr">
        <is>
          <t>Not Run</t>
        </is>
      </c>
      <c r="M10" s="4" t="n"/>
    </row>
    <row r="11" ht="42" customHeight="1" s="43">
      <c r="A11" s="4" t="inlineStr">
        <is>
          <t>TC-008</t>
        </is>
      </c>
      <c r="B11" s="4" t="inlineStr">
        <is>
          <t>SCR-008</t>
        </is>
      </c>
      <c r="C11" s="4" t="inlineStr">
        <is>
          <t>Property &amp; Rooms</t>
        </is>
      </c>
      <c r="D11" s="4" t="inlineStr">
        <is>
          <t>Rooms and Villas Inventory</t>
        </is>
      </c>
      <c r="E11" s="4" t="inlineStr">
        <is>
          <t>Complete primary Rooms and Villas Inventory workflow with valid data and verify one invalid/unauthorized path.</t>
        </is>
      </c>
      <c r="F11" s="4" t="inlineStr">
        <is>
          <t>Test property, role and dependent master data exist.</t>
        </is>
      </c>
      <c r="G11" s="4" t="inlineStr">
        <is>
          <t>1. Sign in with authorized role. 2. Open screen. 3. Search/create/edit/process primary record. 4. Validate status and related screen. 5. Verify audit.</t>
        </is>
      </c>
      <c r="H11" s="4" t="inlineStr">
        <is>
          <t>Valid action succeeds once; invalid/conflicting action is blocked; related data is consistent; audit contains actor, timestamp and reason.</t>
        </is>
      </c>
      <c r="I11" s="4" t="inlineStr">
        <is>
          <t>Functional + RBAC + Integration</t>
        </is>
      </c>
      <c r="J11" s="4" t="inlineStr">
        <is>
          <t>Critical</t>
        </is>
      </c>
      <c r="K11" s="4" t="n"/>
      <c r="L11" s="4" t="inlineStr">
        <is>
          <t>Not Run</t>
        </is>
      </c>
      <c r="M11" s="4" t="n"/>
    </row>
    <row r="12" ht="42" customHeight="1" s="43">
      <c r="A12" s="4" t="inlineStr">
        <is>
          <t>TC-009</t>
        </is>
      </c>
      <c r="B12" s="4" t="inlineStr">
        <is>
          <t>SCR-009</t>
        </is>
      </c>
      <c r="C12" s="4" t="inlineStr">
        <is>
          <t>Guest CRM</t>
        </is>
      </c>
      <c r="D12" s="4" t="inlineStr">
        <is>
          <t>Guest Profile</t>
        </is>
      </c>
      <c r="E12" s="4" t="inlineStr">
        <is>
          <t>Complete primary Guest Profile workflow with valid data and verify one invalid/unauthorized path.</t>
        </is>
      </c>
      <c r="F12" s="4" t="inlineStr">
        <is>
          <t>Test property, role and dependent master data exist.</t>
        </is>
      </c>
      <c r="G12" s="4" t="inlineStr">
        <is>
          <t>1. Sign in with authorized role. 2. Open screen. 3. Search/create/edit/process primary record. 4. Validate status and related screen. 5. Verify audit.</t>
        </is>
      </c>
      <c r="H12" s="4" t="inlineStr">
        <is>
          <t>Valid action succeeds once; invalid/conflicting action is blocked; related data is consistent; audit contains actor, timestamp and reason.</t>
        </is>
      </c>
      <c r="I12" s="4" t="inlineStr">
        <is>
          <t>Functional + RBAC + Integration</t>
        </is>
      </c>
      <c r="J12" s="4" t="inlineStr">
        <is>
          <t>Major</t>
        </is>
      </c>
      <c r="K12" s="4" t="n"/>
      <c r="L12" s="4" t="inlineStr">
        <is>
          <t>Not Run</t>
        </is>
      </c>
      <c r="M12" s="4" t="n"/>
    </row>
    <row r="13" ht="42" customHeight="1" s="43">
      <c r="A13" s="4" t="inlineStr">
        <is>
          <t>TC-010</t>
        </is>
      </c>
      <c r="B13" s="4" t="inlineStr">
        <is>
          <t>SCR-010</t>
        </is>
      </c>
      <c r="C13" s="4" t="inlineStr">
        <is>
          <t>Guest CRM</t>
        </is>
      </c>
      <c r="D13" s="4" t="inlineStr">
        <is>
          <t>Guest Directory</t>
        </is>
      </c>
      <c r="E13" s="4" t="inlineStr">
        <is>
          <t>Complete primary Guest Directory workflow with valid data and verify one invalid/unauthorized path.</t>
        </is>
      </c>
      <c r="F13" s="4" t="inlineStr">
        <is>
          <t>Test property, role and dependent master data exist.</t>
        </is>
      </c>
      <c r="G13" s="4" t="inlineStr">
        <is>
          <t>1. Sign in with authorized role. 2. Open screen. 3. Search/create/edit/process primary record. 4. Validate status and related screen. 5. Verify audit.</t>
        </is>
      </c>
      <c r="H13" s="4" t="inlineStr">
        <is>
          <t>Valid action succeeds once; invalid/conflicting action is blocked; related data is consistent; audit contains actor, timestamp and reason.</t>
        </is>
      </c>
      <c r="I13" s="4" t="inlineStr">
        <is>
          <t>Functional + RBAC + Integration</t>
        </is>
      </c>
      <c r="J13" s="4" t="inlineStr">
        <is>
          <t>Major</t>
        </is>
      </c>
      <c r="K13" s="4" t="n"/>
      <c r="L13" s="4" t="inlineStr">
        <is>
          <t>Not Run</t>
        </is>
      </c>
      <c r="M13" s="4" t="n"/>
    </row>
    <row r="14" ht="42" customHeight="1" s="43">
      <c r="A14" s="4" t="inlineStr">
        <is>
          <t>TC-011</t>
        </is>
      </c>
      <c r="B14" s="4" t="inlineStr">
        <is>
          <t>SCR-011</t>
        </is>
      </c>
      <c r="C14" s="4" t="inlineStr">
        <is>
          <t>Property &amp; Rooms</t>
        </is>
      </c>
      <c r="D14" s="4" t="inlineStr">
        <is>
          <t>Room Details</t>
        </is>
      </c>
      <c r="E14" s="4" t="inlineStr">
        <is>
          <t>Complete primary Room Details workflow with valid data and verify one invalid/unauthorized path.</t>
        </is>
      </c>
      <c r="F14" s="4" t="inlineStr">
        <is>
          <t>Test property, role and dependent master data exist.</t>
        </is>
      </c>
      <c r="G14" s="4" t="inlineStr">
        <is>
          <t>1. Sign in with authorized role. 2. Open screen. 3. Search/create/edit/process primary record. 4. Validate status and related screen. 5. Verify audit.</t>
        </is>
      </c>
      <c r="H14" s="4" t="inlineStr">
        <is>
          <t>Valid action succeeds once; invalid/conflicting action is blocked; related data is consistent; audit contains actor, timestamp and reason.</t>
        </is>
      </c>
      <c r="I14" s="4" t="inlineStr">
        <is>
          <t>Functional + RBAC + Integration</t>
        </is>
      </c>
      <c r="J14" s="4" t="inlineStr">
        <is>
          <t>Critical</t>
        </is>
      </c>
      <c r="K14" s="4" t="n"/>
      <c r="L14" s="4" t="inlineStr">
        <is>
          <t>Not Run</t>
        </is>
      </c>
      <c r="M14" s="4" t="n"/>
    </row>
    <row r="15" ht="42" customHeight="1" s="43">
      <c r="A15" s="4" t="inlineStr">
        <is>
          <t>TC-012</t>
        </is>
      </c>
      <c r="B15" s="4" t="inlineStr">
        <is>
          <t>SCR-012</t>
        </is>
      </c>
      <c r="C15" s="4" t="inlineStr">
        <is>
          <t>Food &amp; Beverage</t>
        </is>
      </c>
      <c r="D15" s="4" t="inlineStr">
        <is>
          <t>Kitchen Display System</t>
        </is>
      </c>
      <c r="E15" s="4" t="inlineStr">
        <is>
          <t>Complete primary Kitchen Display System workflow with valid data and verify one invalid/unauthorized path.</t>
        </is>
      </c>
      <c r="F15" s="4" t="inlineStr">
        <is>
          <t>Test property, role and dependent master data exist.</t>
        </is>
      </c>
      <c r="G15" s="4" t="inlineStr">
        <is>
          <t>1. Sign in with authorized role. 2. Open screen. 3. Search/create/edit/process primary record. 4. Validate status and related screen. 5. Verify audit.</t>
        </is>
      </c>
      <c r="H15" s="4" t="inlineStr">
        <is>
          <t>Valid action succeeds once; invalid/conflicting action is blocked; related data is consistent; audit contains actor, timestamp and reason.</t>
        </is>
      </c>
      <c r="I15" s="4" t="inlineStr">
        <is>
          <t>Functional + RBAC + Integration</t>
        </is>
      </c>
      <c r="J15" s="4" t="inlineStr">
        <is>
          <t>Major</t>
        </is>
      </c>
      <c r="K15" s="4" t="n"/>
      <c r="L15" s="4" t="inlineStr">
        <is>
          <t>Not Run</t>
        </is>
      </c>
      <c r="M15" s="4" t="n"/>
    </row>
    <row r="16" ht="42" customHeight="1" s="43">
      <c r="A16" s="4" t="inlineStr">
        <is>
          <t>TC-013</t>
        </is>
      </c>
      <c r="B16" s="4" t="inlineStr">
        <is>
          <t>SCR-013</t>
        </is>
      </c>
      <c r="C16" s="4" t="inlineStr">
        <is>
          <t>Food &amp; Beverage</t>
        </is>
      </c>
      <c r="D16" s="4" t="inlineStr">
        <is>
          <t>Restaurant POS</t>
        </is>
      </c>
      <c r="E16" s="4" t="inlineStr">
        <is>
          <t>Complete primary Restaurant POS workflow with valid data and verify one invalid/unauthorized path.</t>
        </is>
      </c>
      <c r="F16" s="4" t="inlineStr">
        <is>
          <t>Test property, role and dependent master data exist.</t>
        </is>
      </c>
      <c r="G16" s="4" t="inlineStr">
        <is>
          <t>1. Sign in with authorized role. 2. Open screen. 3. Search/create/edit/process primary record. 4. Validate status and related screen. 5. Verify audit.</t>
        </is>
      </c>
      <c r="H16" s="4" t="inlineStr">
        <is>
          <t>Valid action succeeds once; invalid/conflicting action is blocked; related data is consistent; audit contains actor, timestamp and reason.</t>
        </is>
      </c>
      <c r="I16" s="4" t="inlineStr">
        <is>
          <t>Functional + RBAC + Integration</t>
        </is>
      </c>
      <c r="J16" s="4" t="inlineStr">
        <is>
          <t>Major</t>
        </is>
      </c>
      <c r="K16" s="4" t="n"/>
      <c r="L16" s="4" t="inlineStr">
        <is>
          <t>Not Run</t>
        </is>
      </c>
      <c r="M16" s="4" t="n"/>
    </row>
    <row r="17" ht="42" customHeight="1" s="43">
      <c r="A17" s="4" t="inlineStr">
        <is>
          <t>TC-014</t>
        </is>
      </c>
      <c r="B17" s="4" t="inlineStr">
        <is>
          <t>SCR-014</t>
        </is>
      </c>
      <c r="C17" s="4" t="inlineStr">
        <is>
          <t>Guest Services</t>
        </is>
      </c>
      <c r="D17" s="4" t="inlineStr">
        <is>
          <t>Guest Services Hub</t>
        </is>
      </c>
      <c r="E17" s="4" t="inlineStr">
        <is>
          <t>Complete primary Guest Services Hub workflow with valid data and verify one invalid/unauthorized path.</t>
        </is>
      </c>
      <c r="F17" s="4" t="inlineStr">
        <is>
          <t>Test property, role and dependent master data exist.</t>
        </is>
      </c>
      <c r="G17" s="4" t="inlineStr">
        <is>
          <t>1. Sign in with authorized role. 2. Open screen. 3. Search/create/edit/process primary record. 4. Validate status and related screen. 5. Verify audit.</t>
        </is>
      </c>
      <c r="H17" s="4" t="inlineStr">
        <is>
          <t>Valid action succeeds once; invalid/conflicting action is blocked; related data is consistent; audit contains actor, timestamp and reason.</t>
        </is>
      </c>
      <c r="I17" s="4" t="inlineStr">
        <is>
          <t>Functional + RBAC + Integration</t>
        </is>
      </c>
      <c r="J17" s="4" t="inlineStr">
        <is>
          <t>Major</t>
        </is>
      </c>
      <c r="K17" s="4" t="n"/>
      <c r="L17" s="4" t="inlineStr">
        <is>
          <t>Not Run</t>
        </is>
      </c>
      <c r="M17" s="4" t="n"/>
    </row>
    <row r="18" ht="42" customHeight="1" s="43">
      <c r="A18" s="4" t="inlineStr">
        <is>
          <t>TC-015</t>
        </is>
      </c>
      <c r="B18" s="4" t="inlineStr">
        <is>
          <t>SCR-015</t>
        </is>
      </c>
      <c r="C18" s="4" t="inlineStr">
        <is>
          <t>Activities</t>
        </is>
      </c>
      <c r="D18" s="4" t="inlineStr">
        <is>
          <t>Activities and Experiences</t>
        </is>
      </c>
      <c r="E18" s="4" t="inlineStr">
        <is>
          <t>Complete primary Activities and Experiences workflow with valid data and verify one invalid/unauthorized path.</t>
        </is>
      </c>
      <c r="F18" s="4" t="inlineStr">
        <is>
          <t>Test property, role and dependent master data exist.</t>
        </is>
      </c>
      <c r="G18" s="4" t="inlineStr">
        <is>
          <t>1. Sign in with authorized role. 2. Open screen. 3. Search/create/edit/process primary record. 4. Validate status and related screen. 5. Verify audit.</t>
        </is>
      </c>
      <c r="H18" s="4" t="inlineStr">
        <is>
          <t>Valid action succeeds once; invalid/conflicting action is blocked; related data is consistent; audit contains actor, timestamp and reason.</t>
        </is>
      </c>
      <c r="I18" s="4" t="inlineStr">
        <is>
          <t>Functional + RBAC + Integration</t>
        </is>
      </c>
      <c r="J18" s="4" t="inlineStr">
        <is>
          <t>Major</t>
        </is>
      </c>
      <c r="K18" s="4" t="n"/>
      <c r="L18" s="4" t="inlineStr">
        <is>
          <t>Not Run</t>
        </is>
      </c>
      <c r="M18" s="4" t="n"/>
    </row>
    <row r="19" ht="42" customHeight="1" s="43">
      <c r="A19" s="4" t="inlineStr">
        <is>
          <t>TC-016</t>
        </is>
      </c>
      <c r="B19" s="4" t="inlineStr">
        <is>
          <t>SCR-016</t>
        </is>
      </c>
      <c r="C19" s="4" t="inlineStr">
        <is>
          <t>Spa</t>
        </is>
      </c>
      <c r="D19" s="4" t="inlineStr">
        <is>
          <t>Spa Scheduling</t>
        </is>
      </c>
      <c r="E19" s="4" t="inlineStr">
        <is>
          <t>Complete primary Spa Scheduling workflow with valid data and verify one invalid/unauthorized path.</t>
        </is>
      </c>
      <c r="F19" s="4" t="inlineStr">
        <is>
          <t>Test property, role and dependent master data exist.</t>
        </is>
      </c>
      <c r="G19" s="4" t="inlineStr">
        <is>
          <t>1. Sign in with authorized role. 2. Open screen. 3. Search/create/edit/process primary record. 4. Validate status and related screen. 5. Verify audit.</t>
        </is>
      </c>
      <c r="H19" s="4" t="inlineStr">
        <is>
          <t>Valid action succeeds once; invalid/conflicting action is blocked; related data is consistent; audit contains actor, timestamp and reason.</t>
        </is>
      </c>
      <c r="I19" s="4" t="inlineStr">
        <is>
          <t>Functional + RBAC + Integration</t>
        </is>
      </c>
      <c r="J19" s="4" t="inlineStr">
        <is>
          <t>Major</t>
        </is>
      </c>
      <c r="K19" s="4" t="n"/>
      <c r="L19" s="4" t="inlineStr">
        <is>
          <t>Not Run</t>
        </is>
      </c>
      <c r="M19" s="4" t="n"/>
    </row>
    <row r="20" ht="42" customHeight="1" s="43">
      <c r="A20" s="4" t="inlineStr">
        <is>
          <t>TC-017</t>
        </is>
      </c>
      <c r="B20" s="4" t="inlineStr">
        <is>
          <t>SCR-017</t>
        </is>
      </c>
      <c r="C20" s="4" t="inlineStr">
        <is>
          <t>Events &amp; Banquets</t>
        </is>
      </c>
      <c r="D20" s="4" t="inlineStr">
        <is>
          <t>Events and Banquets</t>
        </is>
      </c>
      <c r="E20" s="4" t="inlineStr">
        <is>
          <t>Complete primary Events and Banquets workflow with valid data and verify one invalid/unauthorized path.</t>
        </is>
      </c>
      <c r="F20" s="4" t="inlineStr">
        <is>
          <t>Test property, role and dependent master data exist.</t>
        </is>
      </c>
      <c r="G20" s="4" t="inlineStr">
        <is>
          <t>1. Sign in with authorized role. 2. Open screen. 3. Search/create/edit/process primary record. 4. Validate status and related screen. 5. Verify audit.</t>
        </is>
      </c>
      <c r="H20" s="4" t="inlineStr">
        <is>
          <t>Valid action succeeds once; invalid/conflicting action is blocked; related data is consistent; audit contains actor, timestamp and reason.</t>
        </is>
      </c>
      <c r="I20" s="4" t="inlineStr">
        <is>
          <t>Functional + RBAC + Integration</t>
        </is>
      </c>
      <c r="J20" s="4" t="inlineStr">
        <is>
          <t>Major</t>
        </is>
      </c>
      <c r="K20" s="4" t="n"/>
      <c r="L20" s="4" t="inlineStr">
        <is>
          <t>Not Run</t>
        </is>
      </c>
      <c r="M20" s="4" t="n"/>
    </row>
    <row r="21" ht="42" customHeight="1" s="43">
      <c r="A21" s="4" t="inlineStr">
        <is>
          <t>TC-018</t>
        </is>
      </c>
      <c r="B21" s="4" t="inlineStr">
        <is>
          <t>SCR-018</t>
        </is>
      </c>
      <c r="C21" s="4" t="inlineStr">
        <is>
          <t>Transport</t>
        </is>
      </c>
      <c r="D21" s="4" t="inlineStr">
        <is>
          <t>Transport and Transfers</t>
        </is>
      </c>
      <c r="E21" s="4" t="inlineStr">
        <is>
          <t>Complete primary Transport and Transfers workflow with valid data and verify one invalid/unauthorized path.</t>
        </is>
      </c>
      <c r="F21" s="4" t="inlineStr">
        <is>
          <t>Test property, role and dependent master data exist.</t>
        </is>
      </c>
      <c r="G21" s="4" t="inlineStr">
        <is>
          <t>1. Sign in with authorized role. 2. Open screen. 3. Search/create/edit/process primary record. 4. Validate status and related screen. 5. Verify audit.</t>
        </is>
      </c>
      <c r="H21" s="4" t="inlineStr">
        <is>
          <t>Valid action succeeds once; invalid/conflicting action is blocked; related data is consistent; audit contains actor, timestamp and reason.</t>
        </is>
      </c>
      <c r="I21" s="4" t="inlineStr">
        <is>
          <t>Functional + RBAC + Integration</t>
        </is>
      </c>
      <c r="J21" s="4" t="inlineStr">
        <is>
          <t>Major</t>
        </is>
      </c>
      <c r="K21" s="4" t="n"/>
      <c r="L21" s="4" t="inlineStr">
        <is>
          <t>Not Run</t>
        </is>
      </c>
      <c r="M21" s="4" t="n"/>
    </row>
    <row r="22" ht="42" customHeight="1" s="43">
      <c r="A22" s="4" t="inlineStr">
        <is>
          <t>TC-019</t>
        </is>
      </c>
      <c r="B22" s="4" t="inlineStr">
        <is>
          <t>SCR-019</t>
        </is>
      </c>
      <c r="C22" s="4" t="inlineStr">
        <is>
          <t>Maintenance</t>
        </is>
      </c>
      <c r="D22" s="4" t="inlineStr">
        <is>
          <t>Maintenance Work Orders</t>
        </is>
      </c>
      <c r="E22" s="4" t="inlineStr">
        <is>
          <t>Complete primary Maintenance Work Orders workflow with valid data and verify one invalid/unauthorized path.</t>
        </is>
      </c>
      <c r="F22" s="4" t="inlineStr">
        <is>
          <t>Test property, role and dependent master data exist.</t>
        </is>
      </c>
      <c r="G22" s="4" t="inlineStr">
        <is>
          <t>1. Sign in with authorized role. 2. Open screen. 3. Search/create/edit/process primary record. 4. Validate status and related screen. 5. Verify audit.</t>
        </is>
      </c>
      <c r="H22" s="4" t="inlineStr">
        <is>
          <t>Valid action succeeds once; invalid/conflicting action is blocked; related data is consistent; audit contains actor, timestamp and reason.</t>
        </is>
      </c>
      <c r="I22" s="4" t="inlineStr">
        <is>
          <t>Functional + RBAC + Integration</t>
        </is>
      </c>
      <c r="J22" s="4" t="inlineStr">
        <is>
          <t>Major</t>
        </is>
      </c>
      <c r="K22" s="4" t="n"/>
      <c r="L22" s="4" t="inlineStr">
        <is>
          <t>Not Run</t>
        </is>
      </c>
      <c r="M22" s="4" t="n"/>
    </row>
    <row r="23" ht="42" customHeight="1" s="43">
      <c r="A23" s="4" t="inlineStr">
        <is>
          <t>TC-020</t>
        </is>
      </c>
      <c r="B23" s="4" t="inlineStr">
        <is>
          <t>SCR-020</t>
        </is>
      </c>
      <c r="C23" s="4" t="inlineStr">
        <is>
          <t>Inventory</t>
        </is>
      </c>
      <c r="D23" s="4" t="inlineStr">
        <is>
          <t>Inventory Management</t>
        </is>
      </c>
      <c r="E23" s="4" t="inlineStr">
        <is>
          <t>Complete primary Inventory Management workflow with valid data and verify one invalid/unauthorized path.</t>
        </is>
      </c>
      <c r="F23" s="4" t="inlineStr">
        <is>
          <t>Test property, role and dependent master data exist.</t>
        </is>
      </c>
      <c r="G23" s="4" t="inlineStr">
        <is>
          <t>1. Sign in with authorized role. 2. Open screen. 3. Search/create/edit/process primary record. 4. Validate status and related screen. 5. Verify audit.</t>
        </is>
      </c>
      <c r="H23" s="4" t="inlineStr">
        <is>
          <t>Valid action succeeds once; invalid/conflicting action is blocked; related data is consistent; audit contains actor, timestamp and reason.</t>
        </is>
      </c>
      <c r="I23" s="4" t="inlineStr">
        <is>
          <t>Functional + RBAC + Integration</t>
        </is>
      </c>
      <c r="J23" s="4" t="inlineStr">
        <is>
          <t>Major</t>
        </is>
      </c>
      <c r="K23" s="4" t="n"/>
      <c r="L23" s="4" t="inlineStr">
        <is>
          <t>Not Run</t>
        </is>
      </c>
      <c r="M23" s="4" t="n"/>
    </row>
    <row r="24" ht="42" customHeight="1" s="43">
      <c r="A24" s="4" t="inlineStr">
        <is>
          <t>TC-021</t>
        </is>
      </c>
      <c r="B24" s="4" t="inlineStr">
        <is>
          <t>SCR-021</t>
        </is>
      </c>
      <c r="C24" s="4" t="inlineStr">
        <is>
          <t>Workforce</t>
        </is>
      </c>
      <c r="D24" s="4" t="inlineStr">
        <is>
          <t>Staff and Shift Roster</t>
        </is>
      </c>
      <c r="E24" s="4" t="inlineStr">
        <is>
          <t>Complete primary Staff and Shift Roster workflow with valid data and verify one invalid/unauthorized path.</t>
        </is>
      </c>
      <c r="F24" s="4" t="inlineStr">
        <is>
          <t>Test property, role and dependent master data exist.</t>
        </is>
      </c>
      <c r="G24" s="4" t="inlineStr">
        <is>
          <t>1. Sign in with authorized role. 2. Open screen. 3. Search/create/edit/process primary record. 4. Validate status and related screen. 5. Verify audit.</t>
        </is>
      </c>
      <c r="H24" s="4" t="inlineStr">
        <is>
          <t>Valid action succeeds once; invalid/conflicting action is blocked; related data is consistent; audit contains actor, timestamp and reason.</t>
        </is>
      </c>
      <c r="I24" s="4" t="inlineStr">
        <is>
          <t>Functional + RBAC + Integration</t>
        </is>
      </c>
      <c r="J24" s="4" t="inlineStr">
        <is>
          <t>Major</t>
        </is>
      </c>
      <c r="K24" s="4" t="n"/>
      <c r="L24" s="4" t="inlineStr">
        <is>
          <t>Not Run</t>
        </is>
      </c>
      <c r="M24" s="4" t="n"/>
    </row>
    <row r="25" ht="42" customHeight="1" s="43">
      <c r="A25" s="4" t="inlineStr">
        <is>
          <t>TC-022</t>
        </is>
      </c>
      <c r="B25" s="4" t="inlineStr">
        <is>
          <t>SCR-022</t>
        </is>
      </c>
      <c r="C25" s="4" t="inlineStr">
        <is>
          <t>Finance</t>
        </is>
      </c>
      <c r="D25" s="4" t="inlineStr">
        <is>
          <t>Finance and Night Audit</t>
        </is>
      </c>
      <c r="E25" s="4" t="inlineStr">
        <is>
          <t>Complete primary Finance and Night Audit workflow with valid data and verify one invalid/unauthorized path.</t>
        </is>
      </c>
      <c r="F25" s="4" t="inlineStr">
        <is>
          <t>Test property, role and dependent master data exist.</t>
        </is>
      </c>
      <c r="G25" s="4" t="inlineStr">
        <is>
          <t>1. Sign in with authorized role. 2. Open screen. 3. Search/create/edit/process primary record. 4. Validate status and related screen. 5. Verify audit.</t>
        </is>
      </c>
      <c r="H25" s="4" t="inlineStr">
        <is>
          <t>Valid action succeeds once; invalid/conflicting action is blocked; related data is consistent; audit contains actor, timestamp and reason.</t>
        </is>
      </c>
      <c r="I25" s="4" t="inlineStr">
        <is>
          <t>Functional + RBAC + Integration</t>
        </is>
      </c>
      <c r="J25" s="4" t="inlineStr">
        <is>
          <t>Critical</t>
        </is>
      </c>
      <c r="K25" s="4" t="n"/>
      <c r="L25" s="4" t="inlineStr">
        <is>
          <t>Not Run</t>
        </is>
      </c>
      <c r="M25" s="4" t="n"/>
    </row>
    <row r="26" ht="42" customHeight="1" s="43">
      <c r="A26" s="4" t="inlineStr">
        <is>
          <t>TC-023</t>
        </is>
      </c>
      <c r="B26" s="4" t="inlineStr">
        <is>
          <t>SCR-023</t>
        </is>
      </c>
      <c r="C26" s="4" t="inlineStr">
        <is>
          <t>Purchasing</t>
        </is>
      </c>
      <c r="D26" s="4" t="inlineStr">
        <is>
          <t>Purchasing and Vendor Approvals</t>
        </is>
      </c>
      <c r="E26" s="4" t="inlineStr">
        <is>
          <t>Complete primary Purchasing and Vendor Approvals workflow with valid data and verify one invalid/unauthorized path.</t>
        </is>
      </c>
      <c r="F26" s="4" t="inlineStr">
        <is>
          <t>Test property, role and dependent master data exist.</t>
        </is>
      </c>
      <c r="G26" s="4" t="inlineStr">
        <is>
          <t>1. Sign in with authorized role. 2. Open screen. 3. Search/create/edit/process primary record. 4. Validate status and related screen. 5. Verify audit.</t>
        </is>
      </c>
      <c r="H26" s="4" t="inlineStr">
        <is>
          <t>Valid action succeeds once; invalid/conflicting action is blocked; related data is consistent; audit contains actor, timestamp and reason.</t>
        </is>
      </c>
      <c r="I26" s="4" t="inlineStr">
        <is>
          <t>Functional + RBAC + Integration</t>
        </is>
      </c>
      <c r="J26" s="4" t="inlineStr">
        <is>
          <t>Major</t>
        </is>
      </c>
      <c r="K26" s="4" t="n"/>
      <c r="L26" s="4" t="inlineStr">
        <is>
          <t>Not Run</t>
        </is>
      </c>
      <c r="M26" s="4" t="n"/>
    </row>
    <row r="27" ht="42" customHeight="1" s="43">
      <c r="A27" s="4" t="inlineStr">
        <is>
          <t>TC-024</t>
        </is>
      </c>
      <c r="B27" s="4" t="inlineStr">
        <is>
          <t>SCR-024</t>
        </is>
      </c>
      <c r="C27" s="4" t="inlineStr">
        <is>
          <t>Distribution</t>
        </is>
      </c>
      <c r="D27" s="4" t="inlineStr">
        <is>
          <t>Channel Manager</t>
        </is>
      </c>
      <c r="E27" s="4" t="inlineStr">
        <is>
          <t>Complete primary Channel Manager workflow with valid data and verify one invalid/unauthorized path.</t>
        </is>
      </c>
      <c r="F27" s="4" t="inlineStr">
        <is>
          <t>Test property, role and dependent master data exist.</t>
        </is>
      </c>
      <c r="G27" s="4" t="inlineStr">
        <is>
          <t>1. Sign in with authorized role. 2. Open screen. 3. Search/create/edit/process primary record. 4. Validate status and related screen. 5. Verify audit.</t>
        </is>
      </c>
      <c r="H27" s="4" t="inlineStr">
        <is>
          <t>Valid action succeeds once; invalid/conflicting action is blocked; related data is consistent; audit contains actor, timestamp and reason.</t>
        </is>
      </c>
      <c r="I27" s="4" t="inlineStr">
        <is>
          <t>Functional + RBAC + Integration</t>
        </is>
      </c>
      <c r="J27" s="4" t="inlineStr">
        <is>
          <t>Critical</t>
        </is>
      </c>
      <c r="K27" s="4" t="n"/>
      <c r="L27" s="4" t="inlineStr">
        <is>
          <t>Not Run</t>
        </is>
      </c>
      <c r="M27" s="4" t="n"/>
    </row>
    <row r="28" ht="42" customHeight="1" s="43">
      <c r="A28" s="4" t="inlineStr">
        <is>
          <t>TC-025</t>
        </is>
      </c>
      <c r="B28" s="4" t="inlineStr">
        <is>
          <t>SCR-025</t>
        </is>
      </c>
      <c r="C28" s="4" t="inlineStr">
        <is>
          <t>Guest CRM</t>
        </is>
      </c>
      <c r="D28" s="4" t="inlineStr">
        <is>
          <t>Guest CRM Dashboard</t>
        </is>
      </c>
      <c r="E28" s="4" t="inlineStr">
        <is>
          <t>Complete primary Guest CRM Dashboard workflow with valid data and verify one invalid/unauthorized path.</t>
        </is>
      </c>
      <c r="F28" s="4" t="inlineStr">
        <is>
          <t>Test property, role and dependent master data exist.</t>
        </is>
      </c>
      <c r="G28" s="4" t="inlineStr">
        <is>
          <t>1. Sign in with authorized role. 2. Open screen. 3. Search/create/edit/process primary record. 4. Validate status and related screen. 5. Verify audit.</t>
        </is>
      </c>
      <c r="H28" s="4" t="inlineStr">
        <is>
          <t>Valid action succeeds once; invalid/conflicting action is blocked; related data is consistent; audit contains actor, timestamp and reason.</t>
        </is>
      </c>
      <c r="I28" s="4" t="inlineStr">
        <is>
          <t>Functional + RBAC + Integration</t>
        </is>
      </c>
      <c r="J28" s="4" t="inlineStr">
        <is>
          <t>Major</t>
        </is>
      </c>
      <c r="K28" s="4" t="n"/>
      <c r="L28" s="4" t="inlineStr">
        <is>
          <t>Not Run</t>
        </is>
      </c>
      <c r="M28" s="4" t="n"/>
    </row>
    <row r="29" ht="42" customHeight="1" s="43">
      <c r="A29" s="4" t="inlineStr">
        <is>
          <t>TC-026</t>
        </is>
      </c>
      <c r="B29" s="4" t="inlineStr">
        <is>
          <t>SCR-026</t>
        </is>
      </c>
      <c r="C29" s="4" t="inlineStr">
        <is>
          <t>Administration</t>
        </is>
      </c>
      <c r="D29" s="4" t="inlineStr">
        <is>
          <t>Property Settings</t>
        </is>
      </c>
      <c r="E29" s="4" t="inlineStr">
        <is>
          <t>Complete primary Property Settings workflow with valid data and verify one invalid/unauthorized path.</t>
        </is>
      </c>
      <c r="F29" s="4" t="inlineStr">
        <is>
          <t>Test property, role and dependent master data exist.</t>
        </is>
      </c>
      <c r="G29" s="4" t="inlineStr">
        <is>
          <t>1. Sign in with authorized role. 2. Open screen. 3. Search/create/edit/process primary record. 4. Validate status and related screen. 5. Verify audit.</t>
        </is>
      </c>
      <c r="H29" s="4" t="inlineStr">
        <is>
          <t>Valid action succeeds once; invalid/conflicting action is blocked; related data is consistent; audit contains actor, timestamp and reason.</t>
        </is>
      </c>
      <c r="I29" s="4" t="inlineStr">
        <is>
          <t>Functional + RBAC + Integration</t>
        </is>
      </c>
      <c r="J29" s="4" t="inlineStr">
        <is>
          <t>Critical</t>
        </is>
      </c>
      <c r="K29" s="4" t="n"/>
      <c r="L29" s="4" t="inlineStr">
        <is>
          <t>Not Run</t>
        </is>
      </c>
      <c r="M29" s="4" t="n"/>
    </row>
    <row r="30" ht="42" customHeight="1" s="43">
      <c r="A30" s="4" t="inlineStr">
        <is>
          <t>TC-027</t>
        </is>
      </c>
      <c r="B30" s="4" t="inlineStr">
        <is>
          <t>SCR-027</t>
        </is>
      </c>
      <c r="C30" s="4" t="inlineStr">
        <is>
          <t>Analytics</t>
        </is>
      </c>
      <c r="D30" s="4" t="inlineStr">
        <is>
          <t>Reports Dashboard</t>
        </is>
      </c>
      <c r="E30" s="4" t="inlineStr">
        <is>
          <t>Complete primary Reports Dashboard workflow with valid data and verify one invalid/unauthorized path.</t>
        </is>
      </c>
      <c r="F30" s="4" t="inlineStr">
        <is>
          <t>Test property, role and dependent master data exist.</t>
        </is>
      </c>
      <c r="G30" s="4" t="inlineStr">
        <is>
          <t>1. Sign in with authorized role. 2. Open screen. 3. Search/create/edit/process primary record. 4. Validate status and related screen. 5. Verify audit.</t>
        </is>
      </c>
      <c r="H30" s="4" t="inlineStr">
        <is>
          <t>Valid action succeeds once; invalid/conflicting action is blocked; related data is consistent; audit contains actor, timestamp and reason.</t>
        </is>
      </c>
      <c r="I30" s="4" t="inlineStr">
        <is>
          <t>Functional + RBAC + Integration</t>
        </is>
      </c>
      <c r="J30" s="4" t="inlineStr">
        <is>
          <t>Critical</t>
        </is>
      </c>
      <c r="K30" s="4" t="n"/>
      <c r="L30" s="4" t="inlineStr">
        <is>
          <t>Not Run</t>
        </is>
      </c>
      <c r="M30" s="4" t="n"/>
    </row>
    <row r="31" ht="42" customHeight="1" s="43">
      <c r="A31" s="4" t="inlineStr">
        <is>
          <t>TC-028</t>
        </is>
      </c>
      <c r="B31" s="4" t="inlineStr">
        <is>
          <t>SCR-028</t>
        </is>
      </c>
      <c r="C31" s="4" t="inlineStr">
        <is>
          <t>Reservations</t>
        </is>
      </c>
      <c r="D31" s="4" t="inlineStr">
        <is>
          <t>Reservation Details</t>
        </is>
      </c>
      <c r="E31" s="4" t="inlineStr">
        <is>
          <t>Complete primary Reservation Details workflow with valid data and verify one invalid/unauthorized path.</t>
        </is>
      </c>
      <c r="F31" s="4" t="inlineStr">
        <is>
          <t>Test property, role and dependent master data exist.</t>
        </is>
      </c>
      <c r="G31" s="4" t="inlineStr">
        <is>
          <t>1. Sign in with authorized role. 2. Open screen. 3. Search/create/edit/process primary record. 4. Validate status and related screen. 5. Verify audit.</t>
        </is>
      </c>
      <c r="H31" s="4" t="inlineStr">
        <is>
          <t>Valid action succeeds once; invalid/conflicting action is blocked; related data is consistent; audit contains actor, timestamp and reason.</t>
        </is>
      </c>
      <c r="I31" s="4" t="inlineStr">
        <is>
          <t>Functional + RBAC + Integration</t>
        </is>
      </c>
      <c r="J31" s="4" t="inlineStr">
        <is>
          <t>Critical</t>
        </is>
      </c>
      <c r="K31" s="4" t="n"/>
      <c r="L31" s="4" t="inlineStr">
        <is>
          <t>Not Run</t>
        </is>
      </c>
      <c r="M31" s="4" t="n"/>
    </row>
    <row r="32" ht="42" customHeight="1" s="43">
      <c r="A32" s="4" t="inlineStr">
        <is>
          <t>TC-029</t>
        </is>
      </c>
      <c r="B32" s="4" t="inlineStr">
        <is>
          <t>SCR-029</t>
        </is>
      </c>
      <c r="C32" s="4" t="inlineStr">
        <is>
          <t>Reservations</t>
        </is>
      </c>
      <c r="D32" s="4" t="inlineStr">
        <is>
          <t>Modify or Cancel Reservation</t>
        </is>
      </c>
      <c r="E32" s="4" t="inlineStr">
        <is>
          <t>Complete primary Modify or Cancel Reservation workflow with valid data and verify one invalid/unauthorized path.</t>
        </is>
      </c>
      <c r="F32" s="4" t="inlineStr">
        <is>
          <t>Test property, role and dependent master data exist.</t>
        </is>
      </c>
      <c r="G32" s="4" t="inlineStr">
        <is>
          <t>1. Sign in with authorized role. 2. Open screen. 3. Search/create/edit/process primary record. 4. Validate status and related screen. 5. Verify audit.</t>
        </is>
      </c>
      <c r="H32" s="4" t="inlineStr">
        <is>
          <t>Valid action succeeds once; invalid/conflicting action is blocked; related data is consistent; audit contains actor, timestamp and reason.</t>
        </is>
      </c>
      <c r="I32" s="4" t="inlineStr">
        <is>
          <t>Functional + RBAC + Integration</t>
        </is>
      </c>
      <c r="J32" s="4" t="inlineStr">
        <is>
          <t>Critical</t>
        </is>
      </c>
      <c r="K32" s="4" t="n"/>
      <c r="L32" s="4" t="inlineStr">
        <is>
          <t>Not Run</t>
        </is>
      </c>
      <c r="M32" s="4" t="n"/>
    </row>
    <row r="33" ht="42" customHeight="1" s="43">
      <c r="A33" s="4" t="inlineStr">
        <is>
          <t>TC-030</t>
        </is>
      </c>
      <c r="B33" s="4" t="inlineStr">
        <is>
          <t>SCR-030</t>
        </is>
      </c>
      <c r="C33" s="4" t="inlineStr">
        <is>
          <t>Groups</t>
        </is>
      </c>
      <c r="D33" s="4" t="inlineStr">
        <is>
          <t>Group Booking</t>
        </is>
      </c>
      <c r="E33" s="4" t="inlineStr">
        <is>
          <t>Complete primary Group Booking workflow with valid data and verify one invalid/unauthorized path.</t>
        </is>
      </c>
      <c r="F33" s="4" t="inlineStr">
        <is>
          <t>Test property, role and dependent master data exist.</t>
        </is>
      </c>
      <c r="G33" s="4" t="inlineStr">
        <is>
          <t>1. Sign in with authorized role. 2. Open screen. 3. Search/create/edit/process primary record. 4. Validate status and related screen. 5. Verify audit.</t>
        </is>
      </c>
      <c r="H33" s="4" t="inlineStr">
        <is>
          <t>Valid action succeeds once; invalid/conflicting action is blocked; related data is consistent; audit contains actor, timestamp and reason.</t>
        </is>
      </c>
      <c r="I33" s="4" t="inlineStr">
        <is>
          <t>Functional + RBAC + Integration</t>
        </is>
      </c>
      <c r="J33" s="4" t="inlineStr">
        <is>
          <t>Critical</t>
        </is>
      </c>
      <c r="K33" s="4" t="n"/>
      <c r="L33" s="4" t="inlineStr">
        <is>
          <t>Not Run</t>
        </is>
      </c>
      <c r="M33" s="4" t="n"/>
    </row>
    <row r="34" ht="42" customHeight="1" s="43">
      <c r="A34" s="4" t="inlineStr">
        <is>
          <t>TC-031</t>
        </is>
      </c>
      <c r="B34" s="4" t="inlineStr">
        <is>
          <t>SCR-031</t>
        </is>
      </c>
      <c r="C34" s="4" t="inlineStr">
        <is>
          <t>Groups</t>
        </is>
      </c>
      <c r="D34" s="4" t="inlineStr">
        <is>
          <t>Group Rooming List and Check-In</t>
        </is>
      </c>
      <c r="E34" s="4" t="inlineStr">
        <is>
          <t>Complete primary Group Rooming List and Check-In workflow with valid data and verify one invalid/unauthorized path.</t>
        </is>
      </c>
      <c r="F34" s="4" t="inlineStr">
        <is>
          <t>Test property, role and dependent master data exist.</t>
        </is>
      </c>
      <c r="G34" s="4" t="inlineStr">
        <is>
          <t>1. Sign in with authorized role. 2. Open screen. 3. Search/create/edit/process primary record. 4. Validate status and related screen. 5. Verify audit.</t>
        </is>
      </c>
      <c r="H34" s="4" t="inlineStr">
        <is>
          <t>Valid action succeeds once; invalid/conflicting action is blocked; related data is consistent; audit contains actor, timestamp and reason.</t>
        </is>
      </c>
      <c r="I34" s="4" t="inlineStr">
        <is>
          <t>Functional + RBAC + Integration</t>
        </is>
      </c>
      <c r="J34" s="4" t="inlineStr">
        <is>
          <t>Critical</t>
        </is>
      </c>
      <c r="K34" s="4" t="n"/>
      <c r="L34" s="4" t="inlineStr">
        <is>
          <t>Not Run</t>
        </is>
      </c>
      <c r="M34" s="4" t="n"/>
    </row>
    <row r="35" ht="42" customHeight="1" s="43">
      <c r="A35" s="4" t="inlineStr">
        <is>
          <t>TC-032</t>
        </is>
      </c>
      <c r="B35" s="4" t="inlineStr">
        <is>
          <t>SCR-032</t>
        </is>
      </c>
      <c r="C35" s="4" t="inlineStr">
        <is>
          <t>Reservations</t>
        </is>
      </c>
      <c r="D35" s="4" t="inlineStr">
        <is>
          <t>Waitlist and Enquiries</t>
        </is>
      </c>
      <c r="E35" s="4" t="inlineStr">
        <is>
          <t>Complete primary Waitlist and Enquiries workflow with valid data and verify one invalid/unauthorized path.</t>
        </is>
      </c>
      <c r="F35" s="4" t="inlineStr">
        <is>
          <t>Test property, role and dependent master data exist.</t>
        </is>
      </c>
      <c r="G35" s="4" t="inlineStr">
        <is>
          <t>1. Sign in with authorized role. 2. Open screen. 3. Search/create/edit/process primary record. 4. Validate status and related screen. 5. Verify audit.</t>
        </is>
      </c>
      <c r="H35" s="4" t="inlineStr">
        <is>
          <t>Valid action succeeds once; invalid/conflicting action is blocked; related data is consistent; audit contains actor, timestamp and reason.</t>
        </is>
      </c>
      <c r="I35" s="4" t="inlineStr">
        <is>
          <t>Functional + RBAC + Integration</t>
        </is>
      </c>
      <c r="J35" s="4" t="inlineStr">
        <is>
          <t>Critical</t>
        </is>
      </c>
      <c r="K35" s="4" t="n"/>
      <c r="L35" s="4" t="inlineStr">
        <is>
          <t>Not Run</t>
        </is>
      </c>
      <c r="M35" s="4" t="n"/>
    </row>
    <row r="36" ht="42" customHeight="1" s="43">
      <c r="A36" s="4" t="inlineStr">
        <is>
          <t>TC-033</t>
        </is>
      </c>
      <c r="B36" s="4" t="inlineStr">
        <is>
          <t>SCR-033</t>
        </is>
      </c>
      <c r="C36" s="4" t="inlineStr">
        <is>
          <t>Revenue Management</t>
        </is>
      </c>
      <c r="D36" s="4" t="inlineStr">
        <is>
          <t>Rate Plans</t>
        </is>
      </c>
      <c r="E36" s="4" t="inlineStr">
        <is>
          <t>Complete primary Rate Plans workflow with valid data and verify one invalid/unauthorized path.</t>
        </is>
      </c>
      <c r="F36" s="4" t="inlineStr">
        <is>
          <t>Test property, role and dependent master data exist.</t>
        </is>
      </c>
      <c r="G36" s="4" t="inlineStr">
        <is>
          <t>1. Sign in with authorized role. 2. Open screen. 3. Search/create/edit/process primary record. 4. Validate status and related screen. 5. Verify audit.</t>
        </is>
      </c>
      <c r="H36" s="4" t="inlineStr">
        <is>
          <t>Valid action succeeds once; invalid/conflicting action is blocked; related data is consistent; audit contains actor, timestamp and reason.</t>
        </is>
      </c>
      <c r="I36" s="4" t="inlineStr">
        <is>
          <t>Functional + RBAC + Integration</t>
        </is>
      </c>
      <c r="J36" s="4" t="inlineStr">
        <is>
          <t>Critical</t>
        </is>
      </c>
      <c r="K36" s="4" t="n"/>
      <c r="L36" s="4" t="inlineStr">
        <is>
          <t>Not Run</t>
        </is>
      </c>
      <c r="M36" s="4" t="n"/>
    </row>
    <row r="37" ht="42" customHeight="1" s="43">
      <c r="A37" s="4" t="inlineStr">
        <is>
          <t>TC-034</t>
        </is>
      </c>
      <c r="B37" s="4" t="inlineStr">
        <is>
          <t>SCR-034</t>
        </is>
      </c>
      <c r="C37" s="4" t="inlineStr">
        <is>
          <t>Revenue Management</t>
        </is>
      </c>
      <c r="D37" s="4" t="inlineStr">
        <is>
          <t>Rates Restrictions and Inventory Calendar</t>
        </is>
      </c>
      <c r="E37" s="4" t="inlineStr">
        <is>
          <t>Complete primary Rates Restrictions and Inventory Calendar workflow with valid data and verify one invalid/unauthorized path.</t>
        </is>
      </c>
      <c r="F37" s="4" t="inlineStr">
        <is>
          <t>Test property, role and dependent master data exist.</t>
        </is>
      </c>
      <c r="G37" s="4" t="inlineStr">
        <is>
          <t>1. Sign in with authorized role. 2. Open screen. 3. Search/create/edit/process primary record. 4. Validate status and related screen. 5. Verify audit.</t>
        </is>
      </c>
      <c r="H37" s="4" t="inlineStr">
        <is>
          <t>Valid action succeeds once; invalid/conflicting action is blocked; related data is consistent; audit contains actor, timestamp and reason.</t>
        </is>
      </c>
      <c r="I37" s="4" t="inlineStr">
        <is>
          <t>Functional + RBAC + Integration</t>
        </is>
      </c>
      <c r="J37" s="4" t="inlineStr">
        <is>
          <t>Critical</t>
        </is>
      </c>
      <c r="K37" s="4" t="n"/>
      <c r="L37" s="4" t="inlineStr">
        <is>
          <t>Not Run</t>
        </is>
      </c>
      <c r="M37" s="4" t="n"/>
    </row>
    <row r="38" ht="42" customHeight="1" s="43">
      <c r="A38" s="4" t="inlineStr">
        <is>
          <t>TC-035</t>
        </is>
      </c>
      <c r="B38" s="4" t="inlineStr">
        <is>
          <t>SCR-035</t>
        </is>
      </c>
      <c r="C38" s="4" t="inlineStr">
        <is>
          <t>Revenue Management</t>
        </is>
      </c>
      <c r="D38" s="4" t="inlineStr">
        <is>
          <t>Packages and Promotions</t>
        </is>
      </c>
      <c r="E38" s="4" t="inlineStr">
        <is>
          <t>Complete primary Packages and Promotions workflow with valid data and verify one invalid/unauthorized path.</t>
        </is>
      </c>
      <c r="F38" s="4" t="inlineStr">
        <is>
          <t>Test property, role and dependent master data exist.</t>
        </is>
      </c>
      <c r="G38" s="4" t="inlineStr">
        <is>
          <t>1. Sign in with authorized role. 2. Open screen. 3. Search/create/edit/process primary record. 4. Validate status and related screen. 5. Verify audit.</t>
        </is>
      </c>
      <c r="H38" s="4" t="inlineStr">
        <is>
          <t>Valid action succeeds once; invalid/conflicting action is blocked; related data is consistent; audit contains actor, timestamp and reason.</t>
        </is>
      </c>
      <c r="I38" s="4" t="inlineStr">
        <is>
          <t>Functional + RBAC + Integration</t>
        </is>
      </c>
      <c r="J38" s="4" t="inlineStr">
        <is>
          <t>Critical</t>
        </is>
      </c>
      <c r="K38" s="4" t="n"/>
      <c r="L38" s="4" t="inlineStr">
        <is>
          <t>Not Run</t>
        </is>
      </c>
      <c r="M38" s="4" t="n"/>
    </row>
    <row r="39" ht="42" customHeight="1" s="43">
      <c r="A39" s="4" t="inlineStr">
        <is>
          <t>TC-036</t>
        </is>
      </c>
      <c r="B39" s="4" t="inlineStr">
        <is>
          <t>SCR-036</t>
        </is>
      </c>
      <c r="C39" s="4" t="inlineStr">
        <is>
          <t>Finance</t>
        </is>
      </c>
      <c r="D39" s="4" t="inlineStr">
        <is>
          <t>Payment and Cashiering Center</t>
        </is>
      </c>
      <c r="E39" s="4" t="inlineStr">
        <is>
          <t>Complete primary Payment and Cashiering Center workflow with valid data and verify one invalid/unauthorized path.</t>
        </is>
      </c>
      <c r="F39" s="4" t="inlineStr">
        <is>
          <t>Test property, role and dependent master data exist.</t>
        </is>
      </c>
      <c r="G39" s="4" t="inlineStr">
        <is>
          <t>1. Sign in with authorized role. 2. Open screen. 3. Search/create/edit/process primary record. 4. Validate status and related screen. 5. Verify audit.</t>
        </is>
      </c>
      <c r="H39" s="4" t="inlineStr">
        <is>
          <t>Valid action succeeds once; invalid/conflicting action is blocked; related data is consistent; audit contains actor, timestamp and reason.</t>
        </is>
      </c>
      <c r="I39" s="4" t="inlineStr">
        <is>
          <t>Functional + RBAC + Integration</t>
        </is>
      </c>
      <c r="J39" s="4" t="inlineStr">
        <is>
          <t>Critical</t>
        </is>
      </c>
      <c r="K39" s="4" t="n"/>
      <c r="L39" s="4" t="inlineStr">
        <is>
          <t>Not Run</t>
        </is>
      </c>
      <c r="M39" s="4" t="n"/>
    </row>
    <row r="40" ht="42" customHeight="1" s="43">
      <c r="A40" s="4" t="inlineStr">
        <is>
          <t>TC-037</t>
        </is>
      </c>
      <c r="B40" s="4" t="inlineStr">
        <is>
          <t>SCR-037</t>
        </is>
      </c>
      <c r="C40" s="4" t="inlineStr">
        <is>
          <t>Finance</t>
        </is>
      </c>
      <c r="D40" s="4" t="inlineStr">
        <is>
          <t>Refund Approval</t>
        </is>
      </c>
      <c r="E40" s="4" t="inlineStr">
        <is>
          <t>Complete primary Refund Approval workflow with valid data and verify one invalid/unauthorized path.</t>
        </is>
      </c>
      <c r="F40" s="4" t="inlineStr">
        <is>
          <t>Test property, role and dependent master data exist.</t>
        </is>
      </c>
      <c r="G40" s="4" t="inlineStr">
        <is>
          <t>1. Sign in with authorized role. 2. Open screen. 3. Search/create/edit/process primary record. 4. Validate status and related screen. 5. Verify audit.</t>
        </is>
      </c>
      <c r="H40" s="4" t="inlineStr">
        <is>
          <t>Valid action succeeds once; invalid/conflicting action is blocked; related data is consistent; audit contains actor, timestamp and reason.</t>
        </is>
      </c>
      <c r="I40" s="4" t="inlineStr">
        <is>
          <t>Functional + RBAC + Integration</t>
        </is>
      </c>
      <c r="J40" s="4" t="inlineStr">
        <is>
          <t>Major</t>
        </is>
      </c>
      <c r="K40" s="4" t="n"/>
      <c r="L40" s="4" t="inlineStr">
        <is>
          <t>Not Run</t>
        </is>
      </c>
      <c r="M40" s="4" t="n"/>
    </row>
    <row r="41" ht="42" customHeight="1" s="43">
      <c r="A41" s="4" t="inlineStr">
        <is>
          <t>TC-038</t>
        </is>
      </c>
      <c r="B41" s="4" t="inlineStr">
        <is>
          <t>SCR-038</t>
        </is>
      </c>
      <c r="C41" s="4" t="inlineStr">
        <is>
          <t>Finance</t>
        </is>
      </c>
      <c r="D41" s="4" t="inlineStr">
        <is>
          <t>Company and Travel Agent Receivables</t>
        </is>
      </c>
      <c r="E41" s="4" t="inlineStr">
        <is>
          <t>Complete primary Company and Travel Agent Receivables workflow with valid data and verify one invalid/unauthorized path.</t>
        </is>
      </c>
      <c r="F41" s="4" t="inlineStr">
        <is>
          <t>Test property, role and dependent master data exist.</t>
        </is>
      </c>
      <c r="G41" s="4" t="inlineStr">
        <is>
          <t>1. Sign in with authorized role. 2. Open screen. 3. Search/create/edit/process primary record. 4. Validate status and related screen. 5. Verify audit.</t>
        </is>
      </c>
      <c r="H41" s="4" t="inlineStr">
        <is>
          <t>Valid action succeeds once; invalid/conflicting action is blocked; related data is consistent; audit contains actor, timestamp and reason.</t>
        </is>
      </c>
      <c r="I41" s="4" t="inlineStr">
        <is>
          <t>Functional + RBAC + Integration</t>
        </is>
      </c>
      <c r="J41" s="4" t="inlineStr">
        <is>
          <t>Major</t>
        </is>
      </c>
      <c r="K41" s="4" t="n"/>
      <c r="L41" s="4" t="inlineStr">
        <is>
          <t>Not Run</t>
        </is>
      </c>
      <c r="M41" s="4" t="n"/>
    </row>
    <row r="42" ht="42" customHeight="1" s="43">
      <c r="A42" s="4" t="inlineStr">
        <is>
          <t>TC-039</t>
        </is>
      </c>
      <c r="B42" s="4" t="inlineStr">
        <is>
          <t>SCR-039</t>
        </is>
      </c>
      <c r="C42" s="4" t="inlineStr">
        <is>
          <t>Administration</t>
        </is>
      </c>
      <c r="D42" s="4" t="inlineStr">
        <is>
          <t>User Management</t>
        </is>
      </c>
      <c r="E42" s="4" t="inlineStr">
        <is>
          <t>Complete primary User Management workflow with valid data and verify one invalid/unauthorized path.</t>
        </is>
      </c>
      <c r="F42" s="4" t="inlineStr">
        <is>
          <t>Test property, role and dependent master data exist.</t>
        </is>
      </c>
      <c r="G42" s="4" t="inlineStr">
        <is>
          <t>1. Sign in with authorized role. 2. Open screen. 3. Search/create/edit/process primary record. 4. Validate status and related screen. 5. Verify audit.</t>
        </is>
      </c>
      <c r="H42" s="4" t="inlineStr">
        <is>
          <t>Valid action succeeds once; invalid/conflicting action is blocked; related data is consistent; audit contains actor, timestamp and reason.</t>
        </is>
      </c>
      <c r="I42" s="4" t="inlineStr">
        <is>
          <t>Functional + RBAC + Integration</t>
        </is>
      </c>
      <c r="J42" s="4" t="inlineStr">
        <is>
          <t>Critical</t>
        </is>
      </c>
      <c r="K42" s="4" t="n"/>
      <c r="L42" s="4" t="inlineStr">
        <is>
          <t>Not Run</t>
        </is>
      </c>
      <c r="M42" s="4" t="n"/>
    </row>
    <row r="43" ht="42" customHeight="1" s="43">
      <c r="A43" s="4" t="inlineStr">
        <is>
          <t>TC-040</t>
        </is>
      </c>
      <c r="B43" s="4" t="inlineStr">
        <is>
          <t>SCR-040</t>
        </is>
      </c>
      <c r="C43" s="4" t="inlineStr">
        <is>
          <t>Administration</t>
        </is>
      </c>
      <c r="D43" s="4" t="inlineStr">
        <is>
          <t>Invite or Edit User Access</t>
        </is>
      </c>
      <c r="E43" s="4" t="inlineStr">
        <is>
          <t>Complete primary Invite or Edit User Access workflow with valid data and verify one invalid/unauthorized path.</t>
        </is>
      </c>
      <c r="F43" s="4" t="inlineStr">
        <is>
          <t>Test property, role and dependent master data exist.</t>
        </is>
      </c>
      <c r="G43" s="4" t="inlineStr">
        <is>
          <t>1. Sign in with authorized role. 2. Open screen. 3. Search/create/edit/process primary record. 4. Validate status and related screen. 5. Verify audit.</t>
        </is>
      </c>
      <c r="H43" s="4" t="inlineStr">
        <is>
          <t>Valid action succeeds once; invalid/conflicting action is blocked; related data is consistent; audit contains actor, timestamp and reason.</t>
        </is>
      </c>
      <c r="I43" s="4" t="inlineStr">
        <is>
          <t>Functional + RBAC + Integration</t>
        </is>
      </c>
      <c r="J43" s="4" t="inlineStr">
        <is>
          <t>Critical</t>
        </is>
      </c>
      <c r="K43" s="4" t="n"/>
      <c r="L43" s="4" t="inlineStr">
        <is>
          <t>Not Run</t>
        </is>
      </c>
      <c r="M43" s="4" t="n"/>
    </row>
    <row r="44" ht="42" customHeight="1" s="43">
      <c r="A44" s="4" t="inlineStr">
        <is>
          <t>TC-041</t>
        </is>
      </c>
      <c r="B44" s="4" t="inlineStr">
        <is>
          <t>SCR-041</t>
        </is>
      </c>
      <c r="C44" s="4" t="inlineStr">
        <is>
          <t>Administration</t>
        </is>
      </c>
      <c r="D44" s="4" t="inlineStr">
        <is>
          <t>Roles and Permission Matrix</t>
        </is>
      </c>
      <c r="E44" s="4" t="inlineStr">
        <is>
          <t>Complete primary Roles and Permission Matrix workflow with valid data and verify one invalid/unauthorized path.</t>
        </is>
      </c>
      <c r="F44" s="4" t="inlineStr">
        <is>
          <t>Test property, role and dependent master data exist.</t>
        </is>
      </c>
      <c r="G44" s="4" t="inlineStr">
        <is>
          <t>1. Sign in with authorized role. 2. Open screen. 3. Search/create/edit/process primary record. 4. Validate status and related screen. 5. Verify audit.</t>
        </is>
      </c>
      <c r="H44" s="4" t="inlineStr">
        <is>
          <t>Valid action succeeds once; invalid/conflicting action is blocked; related data is consistent; audit contains actor, timestamp and reason.</t>
        </is>
      </c>
      <c r="I44" s="4" t="inlineStr">
        <is>
          <t>Functional + RBAC + Integration</t>
        </is>
      </c>
      <c r="J44" s="4" t="inlineStr">
        <is>
          <t>Critical</t>
        </is>
      </c>
      <c r="K44" s="4" t="n"/>
      <c r="L44" s="4" t="inlineStr">
        <is>
          <t>Not Run</t>
        </is>
      </c>
      <c r="M44" s="4" t="n"/>
    </row>
    <row r="45" ht="42" customHeight="1" s="43">
      <c r="A45" s="4" t="inlineStr">
        <is>
          <t>TC-042</t>
        </is>
      </c>
      <c r="B45" s="4" t="inlineStr">
        <is>
          <t>SCR-042</t>
        </is>
      </c>
      <c r="C45" s="4" t="inlineStr">
        <is>
          <t>Administration</t>
        </is>
      </c>
      <c r="D45" s="4" t="inlineStr">
        <is>
          <t>Approval Limits and Queue</t>
        </is>
      </c>
      <c r="E45" s="4" t="inlineStr">
        <is>
          <t>Complete primary Approval Limits and Queue workflow with valid data and verify one invalid/unauthorized path.</t>
        </is>
      </c>
      <c r="F45" s="4" t="inlineStr">
        <is>
          <t>Test property, role and dependent master data exist.</t>
        </is>
      </c>
      <c r="G45" s="4" t="inlineStr">
        <is>
          <t>1. Sign in with authorized role. 2. Open screen. 3. Search/create/edit/process primary record. 4. Validate status and related screen. 5. Verify audit.</t>
        </is>
      </c>
      <c r="H45" s="4" t="inlineStr">
        <is>
          <t>Valid action succeeds once; invalid/conflicting action is blocked; related data is consistent; audit contains actor, timestamp and reason.</t>
        </is>
      </c>
      <c r="I45" s="4" t="inlineStr">
        <is>
          <t>Functional + RBAC + Integration</t>
        </is>
      </c>
      <c r="J45" s="4" t="inlineStr">
        <is>
          <t>Critical</t>
        </is>
      </c>
      <c r="K45" s="4" t="n"/>
      <c r="L45" s="4" t="inlineStr">
        <is>
          <t>Not Run</t>
        </is>
      </c>
      <c r="M45" s="4" t="n"/>
    </row>
    <row r="46" ht="42" customHeight="1" s="43">
      <c r="A46" s="4" t="inlineStr">
        <is>
          <t>TC-043</t>
        </is>
      </c>
      <c r="B46" s="4" t="inlineStr">
        <is>
          <t>SCR-043</t>
        </is>
      </c>
      <c r="C46" s="4" t="inlineStr">
        <is>
          <t>Administration</t>
        </is>
      </c>
      <c r="D46" s="4" t="inlineStr">
        <is>
          <t>Audit Log</t>
        </is>
      </c>
      <c r="E46" s="4" t="inlineStr">
        <is>
          <t>Complete primary Audit Log workflow with valid data and verify one invalid/unauthorized path.</t>
        </is>
      </c>
      <c r="F46" s="4" t="inlineStr">
        <is>
          <t>Test property, role and dependent master data exist.</t>
        </is>
      </c>
      <c r="G46" s="4" t="inlineStr">
        <is>
          <t>1. Sign in with authorized role. 2. Open screen. 3. Search/create/edit/process primary record. 4. Validate status and related screen. 5. Verify audit.</t>
        </is>
      </c>
      <c r="H46" s="4" t="inlineStr">
        <is>
          <t>Valid action succeeds once; invalid/conflicting action is blocked; related data is consistent; audit contains actor, timestamp and reason.</t>
        </is>
      </c>
      <c r="I46" s="4" t="inlineStr">
        <is>
          <t>Functional + RBAC + Integration</t>
        </is>
      </c>
      <c r="J46" s="4" t="inlineStr">
        <is>
          <t>Critical</t>
        </is>
      </c>
      <c r="K46" s="4" t="n"/>
      <c r="L46" s="4" t="inlineStr">
        <is>
          <t>Not Run</t>
        </is>
      </c>
      <c r="M46" s="4" t="n"/>
    </row>
    <row r="47" ht="42" customHeight="1" s="43">
      <c r="A47" s="4" t="inlineStr">
        <is>
          <t>TC-044</t>
        </is>
      </c>
      <c r="B47" s="4" t="inlineStr">
        <is>
          <t>SCR-044</t>
        </is>
      </c>
      <c r="C47" s="4" t="inlineStr">
        <is>
          <t>AI &amp; Automation</t>
        </is>
      </c>
      <c r="D47" s="4" t="inlineStr">
        <is>
          <t>AI Command Center</t>
        </is>
      </c>
      <c r="E47" s="4" t="inlineStr">
        <is>
          <t>Complete primary AI Command Center workflow with valid data and verify one invalid/unauthorized path.</t>
        </is>
      </c>
      <c r="F47" s="4" t="inlineStr">
        <is>
          <t>Test property, role and dependent master data exist.</t>
        </is>
      </c>
      <c r="G47" s="4" t="inlineStr">
        <is>
          <t>1. Sign in with authorized role. 2. Open screen. 3. Search/create/edit/process primary record. 4. Validate status and related screen. 5. Verify audit.</t>
        </is>
      </c>
      <c r="H47" s="4" t="inlineStr">
        <is>
          <t>Valid action succeeds once; invalid/conflicting action is blocked; related data is consistent; audit contains actor, timestamp and reason.</t>
        </is>
      </c>
      <c r="I47" s="4" t="inlineStr">
        <is>
          <t>Functional + RBAC + Integration</t>
        </is>
      </c>
      <c r="J47" s="4" t="inlineStr">
        <is>
          <t>Major</t>
        </is>
      </c>
      <c r="K47" s="4" t="n"/>
      <c r="L47" s="4" t="inlineStr">
        <is>
          <t>Not Run</t>
        </is>
      </c>
      <c r="M47" s="4" t="n"/>
    </row>
    <row r="48" ht="42" customHeight="1" s="43">
      <c r="A48" s="4" t="inlineStr">
        <is>
          <t>TC-045</t>
        </is>
      </c>
      <c r="B48" s="4" t="inlineStr">
        <is>
          <t>SCR-045</t>
        </is>
      </c>
      <c r="C48" s="4" t="inlineStr">
        <is>
          <t>AI &amp; Automation</t>
        </is>
      </c>
      <c r="D48" s="4" t="inlineStr">
        <is>
          <t>Voice Agent Configuration</t>
        </is>
      </c>
      <c r="E48" s="4" t="inlineStr">
        <is>
          <t>Complete primary Voice Agent Configuration workflow with valid data and verify one invalid/unauthorized path.</t>
        </is>
      </c>
      <c r="F48" s="4" t="inlineStr">
        <is>
          <t>Test property, role and dependent master data exist.</t>
        </is>
      </c>
      <c r="G48" s="4" t="inlineStr">
        <is>
          <t>1. Sign in with authorized role. 2. Open screen. 3. Search/create/edit/process primary record. 4. Validate status and related screen. 5. Verify audit.</t>
        </is>
      </c>
      <c r="H48" s="4" t="inlineStr">
        <is>
          <t>Valid action succeeds once; invalid/conflicting action is blocked; related data is consistent; audit contains actor, timestamp and reason.</t>
        </is>
      </c>
      <c r="I48" s="4" t="inlineStr">
        <is>
          <t>Functional + RBAC + Integration</t>
        </is>
      </c>
      <c r="J48" s="4" t="inlineStr">
        <is>
          <t>Major</t>
        </is>
      </c>
      <c r="K48" s="4" t="n"/>
      <c r="L48" s="4" t="inlineStr">
        <is>
          <t>Not Run</t>
        </is>
      </c>
      <c r="M48" s="4" t="n"/>
    </row>
    <row r="49" ht="42" customHeight="1" s="43">
      <c r="A49" s="4" t="inlineStr">
        <is>
          <t>TC-046</t>
        </is>
      </c>
      <c r="B49" s="4" t="inlineStr">
        <is>
          <t>SCR-046</t>
        </is>
      </c>
      <c r="C49" s="4" t="inlineStr">
        <is>
          <t>AI &amp; Automation</t>
        </is>
      </c>
      <c r="D49" s="4" t="inlineStr">
        <is>
          <t>AI Knowledge Base and Tool Policies</t>
        </is>
      </c>
      <c r="E49" s="4" t="inlineStr">
        <is>
          <t>Complete primary AI Knowledge Base and Tool Policies workflow with valid data and verify one invalid/unauthorized path.</t>
        </is>
      </c>
      <c r="F49" s="4" t="inlineStr">
        <is>
          <t>Test property, role and dependent master data exist.</t>
        </is>
      </c>
      <c r="G49" s="4" t="inlineStr">
        <is>
          <t>1. Sign in with authorized role. 2. Open screen. 3. Search/create/edit/process primary record. 4. Validate status and related screen. 5. Verify audit.</t>
        </is>
      </c>
      <c r="H49" s="4" t="inlineStr">
        <is>
          <t>Valid action succeeds once; invalid/conflicting action is blocked; related data is consistent; audit contains actor, timestamp and reason.</t>
        </is>
      </c>
      <c r="I49" s="4" t="inlineStr">
        <is>
          <t>Functional + RBAC + Integration</t>
        </is>
      </c>
      <c r="J49" s="4" t="inlineStr">
        <is>
          <t>Major</t>
        </is>
      </c>
      <c r="K49" s="4" t="n"/>
      <c r="L49" s="4" t="inlineStr">
        <is>
          <t>Not Run</t>
        </is>
      </c>
      <c r="M49" s="4" t="n"/>
    </row>
    <row r="50" ht="42" customHeight="1" s="43">
      <c r="A50" s="4" t="inlineStr">
        <is>
          <t>TC-047</t>
        </is>
      </c>
      <c r="B50" s="4" t="inlineStr">
        <is>
          <t>SCR-047</t>
        </is>
      </c>
      <c r="C50" s="4" t="inlineStr">
        <is>
          <t>Communications</t>
        </is>
      </c>
      <c r="D50" s="4" t="inlineStr">
        <is>
          <t>Guest Conversation Inbox</t>
        </is>
      </c>
      <c r="E50" s="4" t="inlineStr">
        <is>
          <t>Complete primary Guest Conversation Inbox workflow with valid data and verify one invalid/unauthorized path.</t>
        </is>
      </c>
      <c r="F50" s="4" t="inlineStr">
        <is>
          <t>Test property, role and dependent master data exist.</t>
        </is>
      </c>
      <c r="G50" s="4" t="inlineStr">
        <is>
          <t>1. Sign in with authorized role. 2. Open screen. 3. Search/create/edit/process primary record. 4. Validate status and related screen. 5. Verify audit.</t>
        </is>
      </c>
      <c r="H50" s="4" t="inlineStr">
        <is>
          <t>Valid action succeeds once; invalid/conflicting action is blocked; related data is consistent; audit contains actor, timestamp and reason.</t>
        </is>
      </c>
      <c r="I50" s="4" t="inlineStr">
        <is>
          <t>Functional + RBAC + Integration</t>
        </is>
      </c>
      <c r="J50" s="4" t="inlineStr">
        <is>
          <t>Major</t>
        </is>
      </c>
      <c r="K50" s="4" t="n"/>
      <c r="L50" s="4" t="inlineStr">
        <is>
          <t>Not Run</t>
        </is>
      </c>
      <c r="M50" s="4" t="n"/>
    </row>
    <row r="51" ht="42" customHeight="1" s="43">
      <c r="A51" s="4" t="inlineStr">
        <is>
          <t>TC-048</t>
        </is>
      </c>
      <c r="B51" s="4" t="inlineStr">
        <is>
          <t>SCR-048</t>
        </is>
      </c>
      <c r="C51" s="4" t="inlineStr">
        <is>
          <t>Guest Portal</t>
        </is>
      </c>
      <c r="D51" s="4" t="inlineStr">
        <is>
          <t>Guest Mobile Portal</t>
        </is>
      </c>
      <c r="E51" s="4" t="inlineStr">
        <is>
          <t>Complete primary Guest Mobile Portal workflow with valid data and verify one invalid/unauthorized path.</t>
        </is>
      </c>
      <c r="F51" s="4" t="inlineStr">
        <is>
          <t>Test property, role and dependent master data exist.</t>
        </is>
      </c>
      <c r="G51" s="4" t="inlineStr">
        <is>
          <t>1. Sign in with authorized role. 2. Open screen. 3. Search/create/edit/process primary record. 4. Validate status and related screen. 5. Verify audit.</t>
        </is>
      </c>
      <c r="H51" s="4" t="inlineStr">
        <is>
          <t>Valid action succeeds once; invalid/conflicting action is blocked; related data is consistent; audit contains actor, timestamp and reason.</t>
        </is>
      </c>
      <c r="I51" s="4" t="inlineStr">
        <is>
          <t>Functional + RBAC + Integration</t>
        </is>
      </c>
      <c r="J51" s="4" t="inlineStr">
        <is>
          <t>Major</t>
        </is>
      </c>
      <c r="K51" s="4" t="n"/>
      <c r="L51" s="4" t="inlineStr">
        <is>
          <t>Not Run</t>
        </is>
      </c>
      <c r="M51" s="4" t="n"/>
    </row>
    <row r="52" ht="42" customHeight="1" s="43">
      <c r="A52" s="4" t="inlineStr">
        <is>
          <t>TC-049</t>
        </is>
      </c>
      <c r="B52" s="4" t="inlineStr">
        <is>
          <t>SCR-049</t>
        </is>
      </c>
      <c r="C52" s="4" t="inlineStr">
        <is>
          <t>Guest Portal</t>
        </is>
      </c>
      <c r="D52" s="4" t="inlineStr">
        <is>
          <t>Guest Self Check-In</t>
        </is>
      </c>
      <c r="E52" s="4" t="inlineStr">
        <is>
          <t>Complete primary Guest Self Check-In workflow with valid data and verify one invalid/unauthorized path.</t>
        </is>
      </c>
      <c r="F52" s="4" t="inlineStr">
        <is>
          <t>Test property, role and dependent master data exist.</t>
        </is>
      </c>
      <c r="G52" s="4" t="inlineStr">
        <is>
          <t>1. Sign in with authorized role. 2. Open screen. 3. Search/create/edit/process primary record. 4. Validate status and related screen. 5. Verify audit.</t>
        </is>
      </c>
      <c r="H52" s="4" t="inlineStr">
        <is>
          <t>Valid action succeeds once; invalid/conflicting action is blocked; related data is consistent; audit contains actor, timestamp and reason.</t>
        </is>
      </c>
      <c r="I52" s="4" t="inlineStr">
        <is>
          <t>Functional + RBAC + Integration</t>
        </is>
      </c>
      <c r="J52" s="4" t="inlineStr">
        <is>
          <t>Major</t>
        </is>
      </c>
      <c r="K52" s="4" t="n"/>
      <c r="L52" s="4" t="inlineStr">
        <is>
          <t>Not Run</t>
        </is>
      </c>
      <c r="M52" s="4" t="n"/>
    </row>
    <row r="53" ht="42" customHeight="1" s="43">
      <c r="A53" s="4" t="inlineStr">
        <is>
          <t>TC-050</t>
        </is>
      </c>
      <c r="B53" s="4" t="inlineStr">
        <is>
          <t>SCR-050</t>
        </is>
      </c>
      <c r="C53" s="4" t="inlineStr">
        <is>
          <t>Partner Portal</t>
        </is>
      </c>
      <c r="D53" s="4" t="inlineStr">
        <is>
          <t>Travel Agent and Corporate Portal</t>
        </is>
      </c>
      <c r="E53" s="4" t="inlineStr">
        <is>
          <t>Complete primary Travel Agent and Corporate Portal workflow with valid data and verify one invalid/unauthorized path.</t>
        </is>
      </c>
      <c r="F53" s="4" t="inlineStr">
        <is>
          <t>Test property, role and dependent master data exist.</t>
        </is>
      </c>
      <c r="G53" s="4" t="inlineStr">
        <is>
          <t>1. Sign in with authorized role. 2. Open screen. 3. Search/create/edit/process primary record. 4. Validate status and related screen. 5. Verify audit.</t>
        </is>
      </c>
      <c r="H53" s="4" t="inlineStr">
        <is>
          <t>Valid action succeeds once; invalid/conflicting action is blocked; related data is consistent; audit contains actor, timestamp and reason.</t>
        </is>
      </c>
      <c r="I53" s="4" t="inlineStr">
        <is>
          <t>Functional + RBAC + Integration</t>
        </is>
      </c>
      <c r="J53" s="4" t="inlineStr">
        <is>
          <t>Major</t>
        </is>
      </c>
      <c r="K53" s="4" t="n"/>
      <c r="L53" s="4" t="inlineStr">
        <is>
          <t>Not Run</t>
        </is>
      </c>
      <c r="M53" s="4" t="n"/>
    </row>
    <row r="54" ht="42" customHeight="1" s="43">
      <c r="A54" s="4" t="inlineStr">
        <is>
          <t>TC-051</t>
        </is>
      </c>
      <c r="B54" s="4" t="inlineStr">
        <is>
          <t>SCR-051</t>
        </is>
      </c>
      <c r="C54" s="4" t="inlineStr">
        <is>
          <t>Reservations</t>
        </is>
      </c>
      <c r="D54" s="4" t="inlineStr">
        <is>
          <t>No-Show Processing</t>
        </is>
      </c>
      <c r="E54" s="4" t="inlineStr">
        <is>
          <t>Complete primary No-Show Processing workflow with valid data and verify one invalid/unauthorized path.</t>
        </is>
      </c>
      <c r="F54" s="4" t="inlineStr">
        <is>
          <t>Test property, role and dependent master data exist.</t>
        </is>
      </c>
      <c r="G54" s="4" t="inlineStr">
        <is>
          <t>1. Sign in with authorized role. 2. Open screen. 3. Search/create/edit/process primary record. 4. Validate status and related screen. 5. Verify audit.</t>
        </is>
      </c>
      <c r="H54" s="4" t="inlineStr">
        <is>
          <t>Valid action succeeds once; invalid/conflicting action is blocked; related data is consistent; audit contains actor, timestamp and reason.</t>
        </is>
      </c>
      <c r="I54" s="4" t="inlineStr">
        <is>
          <t>Functional + RBAC + Integration</t>
        </is>
      </c>
      <c r="J54" s="4" t="inlineStr">
        <is>
          <t>Critical</t>
        </is>
      </c>
      <c r="K54" s="4" t="n"/>
      <c r="L54" s="4" t="inlineStr">
        <is>
          <t>Not Run</t>
        </is>
      </c>
      <c r="M54" s="4" t="n"/>
    </row>
    <row r="55" ht="42" customHeight="1" s="43">
      <c r="A55" s="4" t="inlineStr">
        <is>
          <t>TC-052</t>
        </is>
      </c>
      <c r="B55" s="4" t="inlineStr">
        <is>
          <t>SCR-052</t>
        </is>
      </c>
      <c r="C55" s="4" t="inlineStr">
        <is>
          <t>Reservations</t>
        </is>
      </c>
      <c r="D55" s="4" t="inlineStr">
        <is>
          <t>Duplicate Reservation</t>
        </is>
      </c>
      <c r="E55" s="4" t="inlineStr">
        <is>
          <t>Complete primary Duplicate Reservation workflow with valid data and verify one invalid/unauthorized path.</t>
        </is>
      </c>
      <c r="F55" s="4" t="inlineStr">
        <is>
          <t>Test property, role and dependent master data exist.</t>
        </is>
      </c>
      <c r="G55" s="4" t="inlineStr">
        <is>
          <t>1. Sign in with authorized role. 2. Open screen. 3. Search/create/edit/process primary record. 4. Validate status and related screen. 5. Verify audit.</t>
        </is>
      </c>
      <c r="H55" s="4" t="inlineStr">
        <is>
          <t>Valid action succeeds once; invalid/conflicting action is blocked; related data is consistent; audit contains actor, timestamp and reason.</t>
        </is>
      </c>
      <c r="I55" s="4" t="inlineStr">
        <is>
          <t>Functional + RBAC + Integration</t>
        </is>
      </c>
      <c r="J55" s="4" t="inlineStr">
        <is>
          <t>Critical</t>
        </is>
      </c>
      <c r="K55" s="4" t="n"/>
      <c r="L55" s="4" t="inlineStr">
        <is>
          <t>Not Run</t>
        </is>
      </c>
      <c r="M55" s="4" t="n"/>
    </row>
    <row r="56" ht="42" customHeight="1" s="43">
      <c r="A56" s="4" t="inlineStr">
        <is>
          <t>TC-053</t>
        </is>
      </c>
      <c r="B56" s="4" t="inlineStr">
        <is>
          <t>SCR-053</t>
        </is>
      </c>
      <c r="C56" s="4" t="inlineStr">
        <is>
          <t>Front Desk</t>
        </is>
      </c>
      <c r="D56" s="4" t="inlineStr">
        <is>
          <t>Room Move and Upgrade</t>
        </is>
      </c>
      <c r="E56" s="4" t="inlineStr">
        <is>
          <t>Complete primary Room Move and Upgrade workflow with valid data and verify one invalid/unauthorized path.</t>
        </is>
      </c>
      <c r="F56" s="4" t="inlineStr">
        <is>
          <t>Test property, role and dependent master data exist.</t>
        </is>
      </c>
      <c r="G56" s="4" t="inlineStr">
        <is>
          <t>1. Sign in with authorized role. 2. Open screen. 3. Search/create/edit/process primary record. 4. Validate status and related screen. 5. Verify audit.</t>
        </is>
      </c>
      <c r="H56" s="4" t="inlineStr">
        <is>
          <t>Valid action succeeds once; invalid/conflicting action is blocked; related data is consistent; audit contains actor, timestamp and reason.</t>
        </is>
      </c>
      <c r="I56" s="4" t="inlineStr">
        <is>
          <t>Functional + RBAC + Integration</t>
        </is>
      </c>
      <c r="J56" s="4" t="inlineStr">
        <is>
          <t>Critical</t>
        </is>
      </c>
      <c r="K56" s="4" t="n"/>
      <c r="L56" s="4" t="inlineStr">
        <is>
          <t>Not Run</t>
        </is>
      </c>
      <c r="M56" s="4" t="n"/>
    </row>
    <row r="57" ht="42" customHeight="1" s="43">
      <c r="A57" s="4" t="inlineStr">
        <is>
          <t>TC-054</t>
        </is>
      </c>
      <c r="B57" s="4" t="inlineStr">
        <is>
          <t>SCR-054</t>
        </is>
      </c>
      <c r="C57" s="4" t="inlineStr">
        <is>
          <t>Reservations</t>
        </is>
      </c>
      <c r="D57" s="4" t="inlineStr">
        <is>
          <t>Split Reservation</t>
        </is>
      </c>
      <c r="E57" s="4" t="inlineStr">
        <is>
          <t>Complete primary Split Reservation workflow with valid data and verify one invalid/unauthorized path.</t>
        </is>
      </c>
      <c r="F57" s="4" t="inlineStr">
        <is>
          <t>Test property, role and dependent master data exist.</t>
        </is>
      </c>
      <c r="G57" s="4" t="inlineStr">
        <is>
          <t>1. Sign in with authorized role. 2. Open screen. 3. Search/create/edit/process primary record. 4. Validate status and related screen. 5. Verify audit.</t>
        </is>
      </c>
      <c r="H57" s="4" t="inlineStr">
        <is>
          <t>Valid action succeeds once; invalid/conflicting action is blocked; related data is consistent; audit contains actor, timestamp and reason.</t>
        </is>
      </c>
      <c r="I57" s="4" t="inlineStr">
        <is>
          <t>Functional + RBAC + Integration</t>
        </is>
      </c>
      <c r="J57" s="4" t="inlineStr">
        <is>
          <t>Critical</t>
        </is>
      </c>
      <c r="K57" s="4" t="n"/>
      <c r="L57" s="4" t="inlineStr">
        <is>
          <t>Not Run</t>
        </is>
      </c>
      <c r="M57" s="4" t="n"/>
    </row>
    <row r="58" ht="42" customHeight="1" s="43">
      <c r="A58" s="4" t="inlineStr">
        <is>
          <t>TC-055</t>
        </is>
      </c>
      <c r="B58" s="4" t="inlineStr">
        <is>
          <t>SCR-055</t>
        </is>
      </c>
      <c r="C58" s="4" t="inlineStr">
        <is>
          <t>Reservations</t>
        </is>
      </c>
      <c r="D58" s="4" t="inlineStr">
        <is>
          <t>Merge Reservations</t>
        </is>
      </c>
      <c r="E58" s="4" t="inlineStr">
        <is>
          <t>Complete primary Merge Reservations workflow with valid data and verify one invalid/unauthorized path.</t>
        </is>
      </c>
      <c r="F58" s="4" t="inlineStr">
        <is>
          <t>Test property, role and dependent master data exist.</t>
        </is>
      </c>
      <c r="G58" s="4" t="inlineStr">
        <is>
          <t>1. Sign in with authorized role. 2. Open screen. 3. Search/create/edit/process primary record. 4. Validate status and related screen. 5. Verify audit.</t>
        </is>
      </c>
      <c r="H58" s="4" t="inlineStr">
        <is>
          <t>Valid action succeeds once; invalid/conflicting action is blocked; related data is consistent; audit contains actor, timestamp and reason.</t>
        </is>
      </c>
      <c r="I58" s="4" t="inlineStr">
        <is>
          <t>Functional + RBAC + Integration</t>
        </is>
      </c>
      <c r="J58" s="4" t="inlineStr">
        <is>
          <t>Critical</t>
        </is>
      </c>
      <c r="K58" s="4" t="n"/>
      <c r="L58" s="4" t="inlineStr">
        <is>
          <t>Not Run</t>
        </is>
      </c>
      <c r="M58" s="4" t="n"/>
    </row>
    <row r="59" ht="42" customHeight="1" s="43">
      <c r="A59" s="4" t="inlineStr">
        <is>
          <t>TC-056</t>
        </is>
      </c>
      <c r="B59" s="4" t="inlineStr">
        <is>
          <t>SCR-056</t>
        </is>
      </c>
      <c r="C59" s="4" t="inlineStr">
        <is>
          <t>Reservations</t>
        </is>
      </c>
      <c r="D59" s="4" t="inlineStr">
        <is>
          <t>Reservation Notes and Tasks</t>
        </is>
      </c>
      <c r="E59" s="4" t="inlineStr">
        <is>
          <t>Complete primary Reservation Notes and Tasks workflow with valid data and verify one invalid/unauthorized path.</t>
        </is>
      </c>
      <c r="F59" s="4" t="inlineStr">
        <is>
          <t>Test property, role and dependent master data exist.</t>
        </is>
      </c>
      <c r="G59" s="4" t="inlineStr">
        <is>
          <t>1. Sign in with authorized role. 2. Open screen. 3. Search/create/edit/process primary record. 4. Validate status and related screen. 5. Verify audit.</t>
        </is>
      </c>
      <c r="H59" s="4" t="inlineStr">
        <is>
          <t>Valid action succeeds once; invalid/conflicting action is blocked; related data is consistent; audit contains actor, timestamp and reason.</t>
        </is>
      </c>
      <c r="I59" s="4" t="inlineStr">
        <is>
          <t>Functional + RBAC + Integration</t>
        </is>
      </c>
      <c r="J59" s="4" t="inlineStr">
        <is>
          <t>Critical</t>
        </is>
      </c>
      <c r="K59" s="4" t="n"/>
      <c r="L59" s="4" t="inlineStr">
        <is>
          <t>Not Run</t>
        </is>
      </c>
      <c r="M59" s="4" t="n"/>
    </row>
    <row r="60" ht="42" customHeight="1" s="43">
      <c r="A60" s="4" t="inlineStr">
        <is>
          <t>TC-057</t>
        </is>
      </c>
      <c r="B60" s="4" t="inlineStr">
        <is>
          <t>SCR-057</t>
        </is>
      </c>
      <c r="C60" s="4" t="inlineStr">
        <is>
          <t>Reservations</t>
        </is>
      </c>
      <c r="D60" s="4" t="inlineStr">
        <is>
          <t>Reservation Add-ons</t>
        </is>
      </c>
      <c r="E60" s="4" t="inlineStr">
        <is>
          <t>Complete primary Reservation Add-ons workflow with valid data and verify one invalid/unauthorized path.</t>
        </is>
      </c>
      <c r="F60" s="4" t="inlineStr">
        <is>
          <t>Test property, role and dependent master data exist.</t>
        </is>
      </c>
      <c r="G60" s="4" t="inlineStr">
        <is>
          <t>1. Sign in with authorized role. 2. Open screen. 3. Search/create/edit/process primary record. 4. Validate status and related screen. 5. Verify audit.</t>
        </is>
      </c>
      <c r="H60" s="4" t="inlineStr">
        <is>
          <t>Valid action succeeds once; invalid/conflicting action is blocked; related data is consistent; audit contains actor, timestamp and reason.</t>
        </is>
      </c>
      <c r="I60" s="4" t="inlineStr">
        <is>
          <t>Functional + RBAC + Integration</t>
        </is>
      </c>
      <c r="J60" s="4" t="inlineStr">
        <is>
          <t>Critical</t>
        </is>
      </c>
      <c r="K60" s="4" t="n"/>
      <c r="L60" s="4" t="inlineStr">
        <is>
          <t>Not Run</t>
        </is>
      </c>
      <c r="M60" s="4" t="n"/>
    </row>
    <row r="61" ht="42" customHeight="1" s="43">
      <c r="A61" s="4" t="inlineStr">
        <is>
          <t>TC-058</t>
        </is>
      </c>
      <c r="B61" s="4" t="inlineStr">
        <is>
          <t>SCR-058</t>
        </is>
      </c>
      <c r="C61" s="4" t="inlineStr">
        <is>
          <t>Finance</t>
        </is>
      </c>
      <c r="D61" s="4" t="inlineStr">
        <is>
          <t>Deposit Schedule</t>
        </is>
      </c>
      <c r="E61" s="4" t="inlineStr">
        <is>
          <t>Complete primary Deposit Schedule workflow with valid data and verify one invalid/unauthorized path.</t>
        </is>
      </c>
      <c r="F61" s="4" t="inlineStr">
        <is>
          <t>Test property, role and dependent master data exist.</t>
        </is>
      </c>
      <c r="G61" s="4" t="inlineStr">
        <is>
          <t>1. Sign in with authorized role. 2. Open screen. 3. Search/create/edit/process primary record. 4. Validate status and related screen. 5. Verify audit.</t>
        </is>
      </c>
      <c r="H61" s="4" t="inlineStr">
        <is>
          <t>Valid action succeeds once; invalid/conflicting action is blocked; related data is consistent; audit contains actor, timestamp and reason.</t>
        </is>
      </c>
      <c r="I61" s="4" t="inlineStr">
        <is>
          <t>Functional + RBAC + Integration</t>
        </is>
      </c>
      <c r="J61" s="4" t="inlineStr">
        <is>
          <t>Critical</t>
        </is>
      </c>
      <c r="K61" s="4" t="n"/>
      <c r="L61" s="4" t="inlineStr">
        <is>
          <t>Not Run</t>
        </is>
      </c>
      <c r="M61" s="4" t="n"/>
    </row>
    <row r="62" ht="42" customHeight="1" s="43">
      <c r="A62" s="4" t="inlineStr">
        <is>
          <t>TC-059</t>
        </is>
      </c>
      <c r="B62" s="4" t="inlineStr">
        <is>
          <t>SCR-059</t>
        </is>
      </c>
      <c r="C62" s="4" t="inlineStr">
        <is>
          <t>Property &amp; Rooms</t>
        </is>
      </c>
      <c r="D62" s="4" t="inlineStr">
        <is>
          <t>Add or Edit Room</t>
        </is>
      </c>
      <c r="E62" s="4" t="inlineStr">
        <is>
          <t>Complete primary Add or Edit Room workflow with valid data and verify one invalid/unauthorized path.</t>
        </is>
      </c>
      <c r="F62" s="4" t="inlineStr">
        <is>
          <t>Test property, role and dependent master data exist.</t>
        </is>
      </c>
      <c r="G62" s="4" t="inlineStr">
        <is>
          <t>1. Sign in with authorized role. 2. Open screen. 3. Search/create/edit/process primary record. 4. Validate status and related screen. 5. Verify audit.</t>
        </is>
      </c>
      <c r="H62" s="4" t="inlineStr">
        <is>
          <t>Valid action succeeds once; invalid/conflicting action is blocked; related data is consistent; audit contains actor, timestamp and reason.</t>
        </is>
      </c>
      <c r="I62" s="4" t="inlineStr">
        <is>
          <t>Functional + RBAC + Integration</t>
        </is>
      </c>
      <c r="J62" s="4" t="inlineStr">
        <is>
          <t>Critical</t>
        </is>
      </c>
      <c r="K62" s="4" t="n"/>
      <c r="L62" s="4" t="inlineStr">
        <is>
          <t>Not Run</t>
        </is>
      </c>
      <c r="M62" s="4" t="n"/>
    </row>
    <row r="63" ht="42" customHeight="1" s="43">
      <c r="A63" s="4" t="inlineStr">
        <is>
          <t>TC-060</t>
        </is>
      </c>
      <c r="B63" s="4" t="inlineStr">
        <is>
          <t>SCR-060</t>
        </is>
      </c>
      <c r="C63" s="4" t="inlineStr">
        <is>
          <t>Property &amp; Rooms</t>
        </is>
      </c>
      <c r="D63" s="4" t="inlineStr">
        <is>
          <t>Room Type Management</t>
        </is>
      </c>
      <c r="E63" s="4" t="inlineStr">
        <is>
          <t>Complete primary Room Type Management workflow with valid data and verify one invalid/unauthorized path.</t>
        </is>
      </c>
      <c r="F63" s="4" t="inlineStr">
        <is>
          <t>Test property, role and dependent master data exist.</t>
        </is>
      </c>
      <c r="G63" s="4" t="inlineStr">
        <is>
          <t>1. Sign in with authorized role. 2. Open screen. 3. Search/create/edit/process primary record. 4. Validate status and related screen. 5. Verify audit.</t>
        </is>
      </c>
      <c r="H63" s="4" t="inlineStr">
        <is>
          <t>Valid action succeeds once; invalid/conflicting action is blocked; related data is consistent; audit contains actor, timestamp and reason.</t>
        </is>
      </c>
      <c r="I63" s="4" t="inlineStr">
        <is>
          <t>Functional + RBAC + Integration</t>
        </is>
      </c>
      <c r="J63" s="4" t="inlineStr">
        <is>
          <t>Critical</t>
        </is>
      </c>
      <c r="K63" s="4" t="n"/>
      <c r="L63" s="4" t="inlineStr">
        <is>
          <t>Not Run</t>
        </is>
      </c>
      <c r="M63" s="4" t="n"/>
    </row>
    <row r="64" ht="42" customHeight="1" s="43">
      <c r="A64" s="4" t="inlineStr">
        <is>
          <t>TC-061</t>
        </is>
      </c>
      <c r="B64" s="4" t="inlineStr">
        <is>
          <t>SCR-061</t>
        </is>
      </c>
      <c r="C64" s="4" t="inlineStr">
        <is>
          <t>Property &amp; Rooms</t>
        </is>
      </c>
      <c r="D64" s="4" t="inlineStr">
        <is>
          <t>Building and Floor Management</t>
        </is>
      </c>
      <c r="E64" s="4" t="inlineStr">
        <is>
          <t>Complete primary Building and Floor Management workflow with valid data and verify one invalid/unauthorized path.</t>
        </is>
      </c>
      <c r="F64" s="4" t="inlineStr">
        <is>
          <t>Test property, role and dependent master data exist.</t>
        </is>
      </c>
      <c r="G64" s="4" t="inlineStr">
        <is>
          <t>1. Sign in with authorized role. 2. Open screen. 3. Search/create/edit/process primary record. 4. Validate status and related screen. 5. Verify audit.</t>
        </is>
      </c>
      <c r="H64" s="4" t="inlineStr">
        <is>
          <t>Valid action succeeds once; invalid/conflicting action is blocked; related data is consistent; audit contains actor, timestamp and reason.</t>
        </is>
      </c>
      <c r="I64" s="4" t="inlineStr">
        <is>
          <t>Functional + RBAC + Integration</t>
        </is>
      </c>
      <c r="J64" s="4" t="inlineStr">
        <is>
          <t>Critical</t>
        </is>
      </c>
      <c r="K64" s="4" t="n"/>
      <c r="L64" s="4" t="inlineStr">
        <is>
          <t>Not Run</t>
        </is>
      </c>
      <c r="M64" s="4" t="n"/>
    </row>
    <row r="65" ht="42" customHeight="1" s="43">
      <c r="A65" s="4" t="inlineStr">
        <is>
          <t>TC-062</t>
        </is>
      </c>
      <c r="B65" s="4" t="inlineStr">
        <is>
          <t>SCR-062</t>
        </is>
      </c>
      <c r="C65" s="4" t="inlineStr">
        <is>
          <t>Property &amp; Rooms</t>
        </is>
      </c>
      <c r="D65" s="4" t="inlineStr">
        <is>
          <t>Amenities Management</t>
        </is>
      </c>
      <c r="E65" s="4" t="inlineStr">
        <is>
          <t>Complete primary Amenities Management workflow with valid data and verify one invalid/unauthorized path.</t>
        </is>
      </c>
      <c r="F65" s="4" t="inlineStr">
        <is>
          <t>Test property, role and dependent master data exist.</t>
        </is>
      </c>
      <c r="G65" s="4" t="inlineStr">
        <is>
          <t>1. Sign in with authorized role. 2. Open screen. 3. Search/create/edit/process primary record. 4. Validate status and related screen. 5. Verify audit.</t>
        </is>
      </c>
      <c r="H65" s="4" t="inlineStr">
        <is>
          <t>Valid action succeeds once; invalid/conflicting action is blocked; related data is consistent; audit contains actor, timestamp and reason.</t>
        </is>
      </c>
      <c r="I65" s="4" t="inlineStr">
        <is>
          <t>Functional + RBAC + Integration</t>
        </is>
      </c>
      <c r="J65" s="4" t="inlineStr">
        <is>
          <t>Critical</t>
        </is>
      </c>
      <c r="K65" s="4" t="n"/>
      <c r="L65" s="4" t="inlineStr">
        <is>
          <t>Not Run</t>
        </is>
      </c>
      <c r="M65" s="4" t="n"/>
    </row>
    <row r="66" ht="42" customHeight="1" s="43">
      <c r="A66" s="4" t="inlineStr">
        <is>
          <t>TC-063</t>
        </is>
      </c>
      <c r="B66" s="4" t="inlineStr">
        <is>
          <t>SCR-063</t>
        </is>
      </c>
      <c r="C66" s="4" t="inlineStr">
        <is>
          <t>Property &amp; Rooms</t>
        </is>
      </c>
      <c r="D66" s="4" t="inlineStr">
        <is>
          <t>Room Block and Out of Order</t>
        </is>
      </c>
      <c r="E66" s="4" t="inlineStr">
        <is>
          <t>Complete primary Room Block and Out of Order workflow with valid data and verify one invalid/unauthorized path.</t>
        </is>
      </c>
      <c r="F66" s="4" t="inlineStr">
        <is>
          <t>Test property, role and dependent master data exist.</t>
        </is>
      </c>
      <c r="G66" s="4" t="inlineStr">
        <is>
          <t>1. Sign in with authorized role. 2. Open screen. 3. Search/create/edit/process primary record. 4. Validate status and related screen. 5. Verify audit.</t>
        </is>
      </c>
      <c r="H66" s="4" t="inlineStr">
        <is>
          <t>Valid action succeeds once; invalid/conflicting action is blocked; related data is consistent; audit contains actor, timestamp and reason.</t>
        </is>
      </c>
      <c r="I66" s="4" t="inlineStr">
        <is>
          <t>Functional + RBAC + Integration</t>
        </is>
      </c>
      <c r="J66" s="4" t="inlineStr">
        <is>
          <t>Critical</t>
        </is>
      </c>
      <c r="K66" s="4" t="n"/>
      <c r="L66" s="4" t="inlineStr">
        <is>
          <t>Not Run</t>
        </is>
      </c>
      <c r="M66" s="4" t="n"/>
    </row>
    <row r="67" ht="42" customHeight="1" s="43">
      <c r="A67" s="4" t="inlineStr">
        <is>
          <t>TC-064</t>
        </is>
      </c>
      <c r="B67" s="4" t="inlineStr">
        <is>
          <t>SCR-064</t>
        </is>
      </c>
      <c r="C67" s="4" t="inlineStr">
        <is>
          <t>Property &amp; Rooms</t>
        </is>
      </c>
      <c r="D67" s="4" t="inlineStr">
        <is>
          <t>Room Status History</t>
        </is>
      </c>
      <c r="E67" s="4" t="inlineStr">
        <is>
          <t>Complete primary Room Status History workflow with valid data and verify one invalid/unauthorized path.</t>
        </is>
      </c>
      <c r="F67" s="4" t="inlineStr">
        <is>
          <t>Test property, role and dependent master data exist.</t>
        </is>
      </c>
      <c r="G67" s="4" t="inlineStr">
        <is>
          <t>1. Sign in with authorized role. 2. Open screen. 3. Search/create/edit/process primary record. 4. Validate status and related screen. 5. Verify audit.</t>
        </is>
      </c>
      <c r="H67" s="4" t="inlineStr">
        <is>
          <t>Valid action succeeds once; invalid/conflicting action is blocked; related data is consistent; audit contains actor, timestamp and reason.</t>
        </is>
      </c>
      <c r="I67" s="4" t="inlineStr">
        <is>
          <t>Functional + RBAC + Integration</t>
        </is>
      </c>
      <c r="J67" s="4" t="inlineStr">
        <is>
          <t>Critical</t>
        </is>
      </c>
      <c r="K67" s="4" t="n"/>
      <c r="L67" s="4" t="inlineStr">
        <is>
          <t>Not Run</t>
        </is>
      </c>
      <c r="M67" s="4" t="n"/>
    </row>
    <row r="68" ht="42" customHeight="1" s="43">
      <c r="A68" s="4" t="inlineStr">
        <is>
          <t>TC-065</t>
        </is>
      </c>
      <c r="B68" s="4" t="inlineStr">
        <is>
          <t>SCR-065</t>
        </is>
      </c>
      <c r="C68" s="4" t="inlineStr">
        <is>
          <t>Guest CRM</t>
        </is>
      </c>
      <c r="D68" s="4" t="inlineStr">
        <is>
          <t>Create or Edit Guest</t>
        </is>
      </c>
      <c r="E68" s="4" t="inlineStr">
        <is>
          <t>Complete primary Create or Edit Guest workflow with valid data and verify one invalid/unauthorized path.</t>
        </is>
      </c>
      <c r="F68" s="4" t="inlineStr">
        <is>
          <t>Test property, role and dependent master data exist.</t>
        </is>
      </c>
      <c r="G68" s="4" t="inlineStr">
        <is>
          <t>1. Sign in with authorized role. 2. Open screen. 3. Search/create/edit/process primary record. 4. Validate status and related screen. 5. Verify audit.</t>
        </is>
      </c>
      <c r="H68" s="4" t="inlineStr">
        <is>
          <t>Valid action succeeds once; invalid/conflicting action is blocked; related data is consistent; audit contains actor, timestamp and reason.</t>
        </is>
      </c>
      <c r="I68" s="4" t="inlineStr">
        <is>
          <t>Functional + RBAC + Integration</t>
        </is>
      </c>
      <c r="J68" s="4" t="inlineStr">
        <is>
          <t>Major</t>
        </is>
      </c>
      <c r="K68" s="4" t="n"/>
      <c r="L68" s="4" t="inlineStr">
        <is>
          <t>Not Run</t>
        </is>
      </c>
      <c r="M68" s="4" t="n"/>
    </row>
    <row r="69" ht="42" customHeight="1" s="43">
      <c r="A69" s="4" t="inlineStr">
        <is>
          <t>TC-066</t>
        </is>
      </c>
      <c r="B69" s="4" t="inlineStr">
        <is>
          <t>SCR-066</t>
        </is>
      </c>
      <c r="C69" s="4" t="inlineStr">
        <is>
          <t>Guest CRM</t>
        </is>
      </c>
      <c r="D69" s="4" t="inlineStr">
        <is>
          <t>Merge Duplicate Guests</t>
        </is>
      </c>
      <c r="E69" s="4" t="inlineStr">
        <is>
          <t>Complete primary Merge Duplicate Guests workflow with valid data and verify one invalid/unauthorized path.</t>
        </is>
      </c>
      <c r="F69" s="4" t="inlineStr">
        <is>
          <t>Test property, role and dependent master data exist.</t>
        </is>
      </c>
      <c r="G69" s="4" t="inlineStr">
        <is>
          <t>1. Sign in with authorized role. 2. Open screen. 3. Search/create/edit/process primary record. 4. Validate status and related screen. 5. Verify audit.</t>
        </is>
      </c>
      <c r="H69" s="4" t="inlineStr">
        <is>
          <t>Valid action succeeds once; invalid/conflicting action is blocked; related data is consistent; audit contains actor, timestamp and reason.</t>
        </is>
      </c>
      <c r="I69" s="4" t="inlineStr">
        <is>
          <t>Functional + RBAC + Integration</t>
        </is>
      </c>
      <c r="J69" s="4" t="inlineStr">
        <is>
          <t>Major</t>
        </is>
      </c>
      <c r="K69" s="4" t="n"/>
      <c r="L69" s="4" t="inlineStr">
        <is>
          <t>Not Run</t>
        </is>
      </c>
      <c r="M69" s="4" t="n"/>
    </row>
    <row r="70" ht="42" customHeight="1" s="43">
      <c r="A70" s="4" t="inlineStr">
        <is>
          <t>TC-067</t>
        </is>
      </c>
      <c r="B70" s="4" t="inlineStr">
        <is>
          <t>SCR-067</t>
        </is>
      </c>
      <c r="C70" s="4" t="inlineStr">
        <is>
          <t>Guest CRM</t>
        </is>
      </c>
      <c r="D70" s="4" t="inlineStr">
        <is>
          <t>Guest Preferences and Consent</t>
        </is>
      </c>
      <c r="E70" s="4" t="inlineStr">
        <is>
          <t>Complete primary Guest Preferences and Consent workflow with valid data and verify one invalid/unauthorized path.</t>
        </is>
      </c>
      <c r="F70" s="4" t="inlineStr">
        <is>
          <t>Test property, role and dependent master data exist.</t>
        </is>
      </c>
      <c r="G70" s="4" t="inlineStr">
        <is>
          <t>1. Sign in with authorized role. 2. Open screen. 3. Search/create/edit/process primary record. 4. Validate status and related screen. 5. Verify audit.</t>
        </is>
      </c>
      <c r="H70" s="4" t="inlineStr">
        <is>
          <t>Valid action succeeds once; invalid/conflicting action is blocked; related data is consistent; audit contains actor, timestamp and reason.</t>
        </is>
      </c>
      <c r="I70" s="4" t="inlineStr">
        <is>
          <t>Functional + RBAC + Integration</t>
        </is>
      </c>
      <c r="J70" s="4" t="inlineStr">
        <is>
          <t>Major</t>
        </is>
      </c>
      <c r="K70" s="4" t="n"/>
      <c r="L70" s="4" t="inlineStr">
        <is>
          <t>Not Run</t>
        </is>
      </c>
      <c r="M70" s="4" t="n"/>
    </row>
    <row r="71" ht="42" customHeight="1" s="43">
      <c r="A71" s="4" t="inlineStr">
        <is>
          <t>TC-068</t>
        </is>
      </c>
      <c r="B71" s="4" t="inlineStr">
        <is>
          <t>SCR-068</t>
        </is>
      </c>
      <c r="C71" s="4" t="inlineStr">
        <is>
          <t>Guest CRM</t>
        </is>
      </c>
      <c r="D71" s="4" t="inlineStr">
        <is>
          <t>Guest Documents and KYC</t>
        </is>
      </c>
      <c r="E71" s="4" t="inlineStr">
        <is>
          <t>Complete primary Guest Documents and KYC workflow with valid data and verify one invalid/unauthorized path.</t>
        </is>
      </c>
      <c r="F71" s="4" t="inlineStr">
        <is>
          <t>Test property, role and dependent master data exist.</t>
        </is>
      </c>
      <c r="G71" s="4" t="inlineStr">
        <is>
          <t>1. Sign in with authorized role. 2. Open screen. 3. Search/create/edit/process primary record. 4. Validate status and related screen. 5. Verify audit.</t>
        </is>
      </c>
      <c r="H71" s="4" t="inlineStr">
        <is>
          <t>Valid action succeeds once; invalid/conflicting action is blocked; related data is consistent; audit contains actor, timestamp and reason.</t>
        </is>
      </c>
      <c r="I71" s="4" t="inlineStr">
        <is>
          <t>Functional + RBAC + Integration</t>
        </is>
      </c>
      <c r="J71" s="4" t="inlineStr">
        <is>
          <t>Major</t>
        </is>
      </c>
      <c r="K71" s="4" t="n"/>
      <c r="L71" s="4" t="inlineStr">
        <is>
          <t>Not Run</t>
        </is>
      </c>
      <c r="M71" s="4" t="n"/>
    </row>
    <row r="72" ht="42" customHeight="1" s="43">
      <c r="A72" s="4" t="inlineStr">
        <is>
          <t>TC-069</t>
        </is>
      </c>
      <c r="B72" s="4" t="inlineStr">
        <is>
          <t>SCR-069</t>
        </is>
      </c>
      <c r="C72" s="4" t="inlineStr">
        <is>
          <t>Guest CRM</t>
        </is>
      </c>
      <c r="D72" s="4" t="inlineStr">
        <is>
          <t>Loyalty and Membership</t>
        </is>
      </c>
      <c r="E72" s="4" t="inlineStr">
        <is>
          <t>Complete primary Loyalty and Membership workflow with valid data and verify one invalid/unauthorized path.</t>
        </is>
      </c>
      <c r="F72" s="4" t="inlineStr">
        <is>
          <t>Test property, role and dependent master data exist.</t>
        </is>
      </c>
      <c r="G72" s="4" t="inlineStr">
        <is>
          <t>1. Sign in with authorized role. 2. Open screen. 3. Search/create/edit/process primary record. 4. Validate status and related screen. 5. Verify audit.</t>
        </is>
      </c>
      <c r="H72" s="4" t="inlineStr">
        <is>
          <t>Valid action succeeds once; invalid/conflicting action is blocked; related data is consistent; audit contains actor, timestamp and reason.</t>
        </is>
      </c>
      <c r="I72" s="4" t="inlineStr">
        <is>
          <t>Functional + RBAC + Integration</t>
        </is>
      </c>
      <c r="J72" s="4" t="inlineStr">
        <is>
          <t>Major</t>
        </is>
      </c>
      <c r="K72" s="4" t="n"/>
      <c r="L72" s="4" t="inlineStr">
        <is>
          <t>Not Run</t>
        </is>
      </c>
      <c r="M72" s="4" t="n"/>
    </row>
    <row r="73" ht="42" customHeight="1" s="43">
      <c r="A73" s="4" t="inlineStr">
        <is>
          <t>TC-070</t>
        </is>
      </c>
      <c r="B73" s="4" t="inlineStr">
        <is>
          <t>SCR-070</t>
        </is>
      </c>
      <c r="C73" s="4" t="inlineStr">
        <is>
          <t>Guest CRM</t>
        </is>
      </c>
      <c r="D73" s="4" t="inlineStr">
        <is>
          <t>Guest Archive and Anonymization</t>
        </is>
      </c>
      <c r="E73" s="4" t="inlineStr">
        <is>
          <t>Complete primary Guest Archive and Anonymization workflow with valid data and verify one invalid/unauthorized path.</t>
        </is>
      </c>
      <c r="F73" s="4" t="inlineStr">
        <is>
          <t>Test property, role and dependent master data exist.</t>
        </is>
      </c>
      <c r="G73" s="4" t="inlineStr">
        <is>
          <t>1. Sign in with authorized role. 2. Open screen. 3. Search/create/edit/process primary record. 4. Validate status and related screen. 5. Verify audit.</t>
        </is>
      </c>
      <c r="H73" s="4" t="inlineStr">
        <is>
          <t>Valid action succeeds once; invalid/conflicting action is blocked; related data is consistent; audit contains actor, timestamp and reason.</t>
        </is>
      </c>
      <c r="I73" s="4" t="inlineStr">
        <is>
          <t>Functional + RBAC + Integration</t>
        </is>
      </c>
      <c r="J73" s="4" t="inlineStr">
        <is>
          <t>Major</t>
        </is>
      </c>
      <c r="K73" s="4" t="n"/>
      <c r="L73" s="4" t="inlineStr">
        <is>
          <t>Not Run</t>
        </is>
      </c>
      <c r="M73" s="4" t="n"/>
    </row>
    <row r="74" ht="42" customHeight="1" s="43">
      <c r="A74" s="4" t="inlineStr">
        <is>
          <t>TC-071</t>
        </is>
      </c>
      <c r="B74" s="4" t="inlineStr">
        <is>
          <t>SCR-071</t>
        </is>
      </c>
      <c r="C74" s="4" t="inlineStr">
        <is>
          <t>Housekeeping</t>
        </is>
      </c>
      <c r="D74" s="4" t="inlineStr">
        <is>
          <t>Create Housekeeping Task</t>
        </is>
      </c>
      <c r="E74" s="4" t="inlineStr">
        <is>
          <t>Complete primary Create Housekeeping Task workflow with valid data and verify one invalid/unauthorized path.</t>
        </is>
      </c>
      <c r="F74" s="4" t="inlineStr">
        <is>
          <t>Test property, role and dependent master data exist.</t>
        </is>
      </c>
      <c r="G74" s="4" t="inlineStr">
        <is>
          <t>1. Sign in with authorized role. 2. Open screen. 3. Search/create/edit/process primary record. 4. Validate status and related screen. 5. Verify audit.</t>
        </is>
      </c>
      <c r="H74" s="4" t="inlineStr">
        <is>
          <t>Valid action succeeds once; invalid/conflicting action is blocked; related data is consistent; audit contains actor, timestamp and reason.</t>
        </is>
      </c>
      <c r="I74" s="4" t="inlineStr">
        <is>
          <t>Functional + RBAC + Integration</t>
        </is>
      </c>
      <c r="J74" s="4" t="inlineStr">
        <is>
          <t>Major</t>
        </is>
      </c>
      <c r="K74" s="4" t="n"/>
      <c r="L74" s="4" t="inlineStr">
        <is>
          <t>Not Run</t>
        </is>
      </c>
      <c r="M74" s="4" t="n"/>
    </row>
    <row r="75" ht="42" customHeight="1" s="43">
      <c r="A75" s="4" t="inlineStr">
        <is>
          <t>TC-072</t>
        </is>
      </c>
      <c r="B75" s="4" t="inlineStr">
        <is>
          <t>SCR-072</t>
        </is>
      </c>
      <c r="C75" s="4" t="inlineStr">
        <is>
          <t>Housekeeping</t>
        </is>
      </c>
      <c r="D75" s="4" t="inlineStr">
        <is>
          <t>Housekeeping Task Details and Edit</t>
        </is>
      </c>
      <c r="E75" s="4" t="inlineStr">
        <is>
          <t>Complete primary Housekeeping Task Details and Edit workflow with valid data and verify one invalid/unauthorized path.</t>
        </is>
      </c>
      <c r="F75" s="4" t="inlineStr">
        <is>
          <t>Test property, role and dependent master data exist.</t>
        </is>
      </c>
      <c r="G75" s="4" t="inlineStr">
        <is>
          <t>1. Sign in with authorized role. 2. Open screen. 3. Search/create/edit/process primary record. 4. Validate status and related screen. 5. Verify audit.</t>
        </is>
      </c>
      <c r="H75" s="4" t="inlineStr">
        <is>
          <t>Valid action succeeds once; invalid/conflicting action is blocked; related data is consistent; audit contains actor, timestamp and reason.</t>
        </is>
      </c>
      <c r="I75" s="4" t="inlineStr">
        <is>
          <t>Functional + RBAC + Integration</t>
        </is>
      </c>
      <c r="J75" s="4" t="inlineStr">
        <is>
          <t>Major</t>
        </is>
      </c>
      <c r="K75" s="4" t="n"/>
      <c r="L75" s="4" t="inlineStr">
        <is>
          <t>Not Run</t>
        </is>
      </c>
      <c r="M75" s="4" t="n"/>
    </row>
    <row r="76" ht="42" customHeight="1" s="43">
      <c r="A76" s="4" t="inlineStr">
        <is>
          <t>TC-073</t>
        </is>
      </c>
      <c r="B76" s="4" t="inlineStr">
        <is>
          <t>SCR-073</t>
        </is>
      </c>
      <c r="C76" s="4" t="inlineStr">
        <is>
          <t>Housekeeping</t>
        </is>
      </c>
      <c r="D76" s="4" t="inlineStr">
        <is>
          <t>Bulk Room Status Update</t>
        </is>
      </c>
      <c r="E76" s="4" t="inlineStr">
        <is>
          <t>Complete primary Bulk Room Status Update workflow with valid data and verify one invalid/unauthorized path.</t>
        </is>
      </c>
      <c r="F76" s="4" t="inlineStr">
        <is>
          <t>Test property, role and dependent master data exist.</t>
        </is>
      </c>
      <c r="G76" s="4" t="inlineStr">
        <is>
          <t>1. Sign in with authorized role. 2. Open screen. 3. Search/create/edit/process primary record. 4. Validate status and related screen. 5. Verify audit.</t>
        </is>
      </c>
      <c r="H76" s="4" t="inlineStr">
        <is>
          <t>Valid action succeeds once; invalid/conflicting action is blocked; related data is consistent; audit contains actor, timestamp and reason.</t>
        </is>
      </c>
      <c r="I76" s="4" t="inlineStr">
        <is>
          <t>Functional + RBAC + Integration</t>
        </is>
      </c>
      <c r="J76" s="4" t="inlineStr">
        <is>
          <t>Major</t>
        </is>
      </c>
      <c r="K76" s="4" t="n"/>
      <c r="L76" s="4" t="inlineStr">
        <is>
          <t>Not Run</t>
        </is>
      </c>
      <c r="M76" s="4" t="n"/>
    </row>
    <row r="77" ht="42" customHeight="1" s="43">
      <c r="A77" s="4" t="inlineStr">
        <is>
          <t>TC-074</t>
        </is>
      </c>
      <c r="B77" s="4" t="inlineStr">
        <is>
          <t>SCR-074</t>
        </is>
      </c>
      <c r="C77" s="4" t="inlineStr">
        <is>
          <t>Housekeeping</t>
        </is>
      </c>
      <c r="D77" s="4" t="inlineStr">
        <is>
          <t>Lost and Found</t>
        </is>
      </c>
      <c r="E77" s="4" t="inlineStr">
        <is>
          <t>Complete primary Lost and Found workflow with valid data and verify one invalid/unauthorized path.</t>
        </is>
      </c>
      <c r="F77" s="4" t="inlineStr">
        <is>
          <t>Test property, role and dependent master data exist.</t>
        </is>
      </c>
      <c r="G77" s="4" t="inlineStr">
        <is>
          <t>1. Sign in with authorized role. 2. Open screen. 3. Search/create/edit/process primary record. 4. Validate status and related screen. 5. Verify audit.</t>
        </is>
      </c>
      <c r="H77" s="4" t="inlineStr">
        <is>
          <t>Valid action succeeds once; invalid/conflicting action is blocked; related data is consistent; audit contains actor, timestamp and reason.</t>
        </is>
      </c>
      <c r="I77" s="4" t="inlineStr">
        <is>
          <t>Functional + RBAC + Integration</t>
        </is>
      </c>
      <c r="J77" s="4" t="inlineStr">
        <is>
          <t>Major</t>
        </is>
      </c>
      <c r="K77" s="4" t="n"/>
      <c r="L77" s="4" t="inlineStr">
        <is>
          <t>Not Run</t>
        </is>
      </c>
      <c r="M77" s="4" t="n"/>
    </row>
    <row r="78" ht="42" customHeight="1" s="43">
      <c r="A78" s="4" t="inlineStr">
        <is>
          <t>TC-075</t>
        </is>
      </c>
      <c r="B78" s="4" t="inlineStr">
        <is>
          <t>SCR-075</t>
        </is>
      </c>
      <c r="C78" s="4" t="inlineStr">
        <is>
          <t>Housekeeping</t>
        </is>
      </c>
      <c r="D78" s="4" t="inlineStr">
        <is>
          <t>Linen and Laundry</t>
        </is>
      </c>
      <c r="E78" s="4" t="inlineStr">
        <is>
          <t>Complete primary Linen and Laundry workflow with valid data and verify one invalid/unauthorized path.</t>
        </is>
      </c>
      <c r="F78" s="4" t="inlineStr">
        <is>
          <t>Test property, role and dependent master data exist.</t>
        </is>
      </c>
      <c r="G78" s="4" t="inlineStr">
        <is>
          <t>1. Sign in with authorized role. 2. Open screen. 3. Search/create/edit/process primary record. 4. Validate status and related screen. 5. Verify audit.</t>
        </is>
      </c>
      <c r="H78" s="4" t="inlineStr">
        <is>
          <t>Valid action succeeds once; invalid/conflicting action is blocked; related data is consistent; audit contains actor, timestamp and reason.</t>
        </is>
      </c>
      <c r="I78" s="4" t="inlineStr">
        <is>
          <t>Functional + RBAC + Integration</t>
        </is>
      </c>
      <c r="J78" s="4" t="inlineStr">
        <is>
          <t>Major</t>
        </is>
      </c>
      <c r="K78" s="4" t="n"/>
      <c r="L78" s="4" t="inlineStr">
        <is>
          <t>Not Run</t>
        </is>
      </c>
      <c r="M78" s="4" t="n"/>
    </row>
    <row r="79" ht="42" customHeight="1" s="43">
      <c r="A79" s="4" t="inlineStr">
        <is>
          <t>TC-076</t>
        </is>
      </c>
      <c r="B79" s="4" t="inlineStr">
        <is>
          <t>SCR-076</t>
        </is>
      </c>
      <c r="C79" s="4" t="inlineStr">
        <is>
          <t>Housekeeping</t>
        </is>
      </c>
      <c r="D79" s="4" t="inlineStr">
        <is>
          <t>Minibar Posting</t>
        </is>
      </c>
      <c r="E79" s="4" t="inlineStr">
        <is>
          <t>Complete primary Minibar Posting workflow with valid data and verify one invalid/unauthorized path.</t>
        </is>
      </c>
      <c r="F79" s="4" t="inlineStr">
        <is>
          <t>Test property, role and dependent master data exist.</t>
        </is>
      </c>
      <c r="G79" s="4" t="inlineStr">
        <is>
          <t>1. Sign in with authorized role. 2. Open screen. 3. Search/create/edit/process primary record. 4. Validate status and related screen. 5. Verify audit.</t>
        </is>
      </c>
      <c r="H79" s="4" t="inlineStr">
        <is>
          <t>Valid action succeeds once; invalid/conflicting action is blocked; related data is consistent; audit contains actor, timestamp and reason.</t>
        </is>
      </c>
      <c r="I79" s="4" t="inlineStr">
        <is>
          <t>Functional + RBAC + Integration</t>
        </is>
      </c>
      <c r="J79" s="4" t="inlineStr">
        <is>
          <t>Major</t>
        </is>
      </c>
      <c r="K79" s="4" t="n"/>
      <c r="L79" s="4" t="inlineStr">
        <is>
          <t>Not Run</t>
        </is>
      </c>
      <c r="M79" s="4" t="n"/>
    </row>
    <row r="80" ht="42" customHeight="1" s="43">
      <c r="A80" s="4" t="inlineStr">
        <is>
          <t>TC-077</t>
        </is>
      </c>
      <c r="B80" s="4" t="inlineStr">
        <is>
          <t>SCR-077</t>
        </is>
      </c>
      <c r="C80" s="4" t="inlineStr">
        <is>
          <t>Food &amp; Beverage</t>
        </is>
      </c>
      <c r="D80" s="4" t="inlineStr">
        <is>
          <t>Restaurant Table and Floor Plan</t>
        </is>
      </c>
      <c r="E80" s="4" t="inlineStr">
        <is>
          <t>Complete primary Restaurant Table and Floor Plan workflow with valid data and verify one invalid/unauthorized path.</t>
        </is>
      </c>
      <c r="F80" s="4" t="inlineStr">
        <is>
          <t>Test property, role and dependent master data exist.</t>
        </is>
      </c>
      <c r="G80" s="4" t="inlineStr">
        <is>
          <t>1. Sign in with authorized role. 2. Open screen. 3. Search/create/edit/process primary record. 4. Validate status and related screen. 5. Verify audit.</t>
        </is>
      </c>
      <c r="H80" s="4" t="inlineStr">
        <is>
          <t>Valid action succeeds once; invalid/conflicting action is blocked; related data is consistent; audit contains actor, timestamp and reason.</t>
        </is>
      </c>
      <c r="I80" s="4" t="inlineStr">
        <is>
          <t>Functional + RBAC + Integration</t>
        </is>
      </c>
      <c r="J80" s="4" t="inlineStr">
        <is>
          <t>Major</t>
        </is>
      </c>
      <c r="K80" s="4" t="n"/>
      <c r="L80" s="4" t="inlineStr">
        <is>
          <t>Not Run</t>
        </is>
      </c>
      <c r="M80" s="4" t="n"/>
    </row>
    <row r="81" ht="42" customHeight="1" s="43">
      <c r="A81" s="4" t="inlineStr">
        <is>
          <t>TC-078</t>
        </is>
      </c>
      <c r="B81" s="4" t="inlineStr">
        <is>
          <t>SCR-078</t>
        </is>
      </c>
      <c r="C81" s="4" t="inlineStr">
        <is>
          <t>Food &amp; Beverage</t>
        </is>
      </c>
      <c r="D81" s="4" t="inlineStr">
        <is>
          <t>POS Order Details</t>
        </is>
      </c>
      <c r="E81" s="4" t="inlineStr">
        <is>
          <t>Complete primary POS Order Details workflow with valid data and verify one invalid/unauthorized path.</t>
        </is>
      </c>
      <c r="F81" s="4" t="inlineStr">
        <is>
          <t>Test property, role and dependent master data exist.</t>
        </is>
      </c>
      <c r="G81" s="4" t="inlineStr">
        <is>
          <t>1. Sign in with authorized role. 2. Open screen. 3. Search/create/edit/process primary record. 4. Validate status and related screen. 5. Verify audit.</t>
        </is>
      </c>
      <c r="H81" s="4" t="inlineStr">
        <is>
          <t>Valid action succeeds once; invalid/conflicting action is blocked; related data is consistent; audit contains actor, timestamp and reason.</t>
        </is>
      </c>
      <c r="I81" s="4" t="inlineStr">
        <is>
          <t>Functional + RBAC + Integration</t>
        </is>
      </c>
      <c r="J81" s="4" t="inlineStr">
        <is>
          <t>Major</t>
        </is>
      </c>
      <c r="K81" s="4" t="n"/>
      <c r="L81" s="4" t="inlineStr">
        <is>
          <t>Not Run</t>
        </is>
      </c>
      <c r="M81" s="4" t="n"/>
    </row>
    <row r="82" ht="42" customHeight="1" s="43">
      <c r="A82" s="4" t="inlineStr">
        <is>
          <t>TC-079</t>
        </is>
      </c>
      <c r="B82" s="4" t="inlineStr">
        <is>
          <t>SCR-079</t>
        </is>
      </c>
      <c r="C82" s="4" t="inlineStr">
        <is>
          <t>Food &amp; Beverage</t>
        </is>
      </c>
      <c r="D82" s="4" t="inlineStr">
        <is>
          <t>Modify POS Order</t>
        </is>
      </c>
      <c r="E82" s="4" t="inlineStr">
        <is>
          <t>Complete primary Modify POS Order workflow with valid data and verify one invalid/unauthorized path.</t>
        </is>
      </c>
      <c r="F82" s="4" t="inlineStr">
        <is>
          <t>Test property, role and dependent master data exist.</t>
        </is>
      </c>
      <c r="G82" s="4" t="inlineStr">
        <is>
          <t>1. Sign in with authorized role. 2. Open screen. 3. Search/create/edit/process primary record. 4. Validate status and related screen. 5. Verify audit.</t>
        </is>
      </c>
      <c r="H82" s="4" t="inlineStr">
        <is>
          <t>Valid action succeeds once; invalid/conflicting action is blocked; related data is consistent; audit contains actor, timestamp and reason.</t>
        </is>
      </c>
      <c r="I82" s="4" t="inlineStr">
        <is>
          <t>Functional + RBAC + Integration</t>
        </is>
      </c>
      <c r="J82" s="4" t="inlineStr">
        <is>
          <t>Major</t>
        </is>
      </c>
      <c r="K82" s="4" t="n"/>
      <c r="L82" s="4" t="inlineStr">
        <is>
          <t>Not Run</t>
        </is>
      </c>
      <c r="M82" s="4" t="n"/>
    </row>
    <row r="83" ht="42" customHeight="1" s="43">
      <c r="A83" s="4" t="inlineStr">
        <is>
          <t>TC-080</t>
        </is>
      </c>
      <c r="B83" s="4" t="inlineStr">
        <is>
          <t>SCR-080</t>
        </is>
      </c>
      <c r="C83" s="4" t="inlineStr">
        <is>
          <t>Food &amp; Beverage</t>
        </is>
      </c>
      <c r="D83" s="4" t="inlineStr">
        <is>
          <t>Split or Merge POS Bill</t>
        </is>
      </c>
      <c r="E83" s="4" t="inlineStr">
        <is>
          <t>Complete primary Split or Merge POS Bill workflow with valid data and verify one invalid/unauthorized path.</t>
        </is>
      </c>
      <c r="F83" s="4" t="inlineStr">
        <is>
          <t>Test property, role and dependent master data exist.</t>
        </is>
      </c>
      <c r="G83" s="4" t="inlineStr">
        <is>
          <t>1. Sign in with authorized role. 2. Open screen. 3. Search/create/edit/process primary record. 4. Validate status and related screen. 5. Verify audit.</t>
        </is>
      </c>
      <c r="H83" s="4" t="inlineStr">
        <is>
          <t>Valid action succeeds once; invalid/conflicting action is blocked; related data is consistent; audit contains actor, timestamp and reason.</t>
        </is>
      </c>
      <c r="I83" s="4" t="inlineStr">
        <is>
          <t>Functional + RBAC + Integration</t>
        </is>
      </c>
      <c r="J83" s="4" t="inlineStr">
        <is>
          <t>Major</t>
        </is>
      </c>
      <c r="K83" s="4" t="n"/>
      <c r="L83" s="4" t="inlineStr">
        <is>
          <t>Not Run</t>
        </is>
      </c>
      <c r="M83" s="4" t="n"/>
    </row>
    <row r="84" ht="42" customHeight="1" s="43">
      <c r="A84" s="4" t="inlineStr">
        <is>
          <t>TC-081</t>
        </is>
      </c>
      <c r="B84" s="4" t="inlineStr">
        <is>
          <t>SCR-081</t>
        </is>
      </c>
      <c r="C84" s="4" t="inlineStr">
        <is>
          <t>Food &amp; Beverage</t>
        </is>
      </c>
      <c r="D84" s="4" t="inlineStr">
        <is>
          <t>POS Void and Discount Approval</t>
        </is>
      </c>
      <c r="E84" s="4" t="inlineStr">
        <is>
          <t>Complete primary POS Void and Discount Approval workflow with valid data and verify one invalid/unauthorized path.</t>
        </is>
      </c>
      <c r="F84" s="4" t="inlineStr">
        <is>
          <t>Test property, role and dependent master data exist.</t>
        </is>
      </c>
      <c r="G84" s="4" t="inlineStr">
        <is>
          <t>1. Sign in with authorized role. 2. Open screen. 3. Search/create/edit/process primary record. 4. Validate status and related screen. 5. Verify audit.</t>
        </is>
      </c>
      <c r="H84" s="4" t="inlineStr">
        <is>
          <t>Valid action succeeds once; invalid/conflicting action is blocked; related data is consistent; audit contains actor, timestamp and reason.</t>
        </is>
      </c>
      <c r="I84" s="4" t="inlineStr">
        <is>
          <t>Functional + RBAC + Integration</t>
        </is>
      </c>
      <c r="J84" s="4" t="inlineStr">
        <is>
          <t>Major</t>
        </is>
      </c>
      <c r="K84" s="4" t="n"/>
      <c r="L84" s="4" t="inlineStr">
        <is>
          <t>Not Run</t>
        </is>
      </c>
      <c r="M84" s="4" t="n"/>
    </row>
    <row r="85" ht="42" customHeight="1" s="43">
      <c r="A85" s="4" t="inlineStr">
        <is>
          <t>TC-082</t>
        </is>
      </c>
      <c r="B85" s="4" t="inlineStr">
        <is>
          <t>SCR-082</t>
        </is>
      </c>
      <c r="C85" s="4" t="inlineStr">
        <is>
          <t>Food &amp; Beverage</t>
        </is>
      </c>
      <c r="D85" s="4" t="inlineStr">
        <is>
          <t>Menu Item Management</t>
        </is>
      </c>
      <c r="E85" s="4" t="inlineStr">
        <is>
          <t>Complete primary Menu Item Management workflow with valid data and verify one invalid/unauthorized path.</t>
        </is>
      </c>
      <c r="F85" s="4" t="inlineStr">
        <is>
          <t>Test property, role and dependent master data exist.</t>
        </is>
      </c>
      <c r="G85" s="4" t="inlineStr">
        <is>
          <t>1. Sign in with authorized role. 2. Open screen. 3. Search/create/edit/process primary record. 4. Validate status and related screen. 5. Verify audit.</t>
        </is>
      </c>
      <c r="H85" s="4" t="inlineStr">
        <is>
          <t>Valid action succeeds once; invalid/conflicting action is blocked; related data is consistent; audit contains actor, timestamp and reason.</t>
        </is>
      </c>
      <c r="I85" s="4" t="inlineStr">
        <is>
          <t>Functional + RBAC + Integration</t>
        </is>
      </c>
      <c r="J85" s="4" t="inlineStr">
        <is>
          <t>Major</t>
        </is>
      </c>
      <c r="K85" s="4" t="n"/>
      <c r="L85" s="4" t="inlineStr">
        <is>
          <t>Not Run</t>
        </is>
      </c>
      <c r="M85" s="4" t="n"/>
    </row>
    <row r="86" ht="42" customHeight="1" s="43">
      <c r="A86" s="4" t="inlineStr">
        <is>
          <t>TC-083</t>
        </is>
      </c>
      <c r="B86" s="4" t="inlineStr">
        <is>
          <t>SCR-083</t>
        </is>
      </c>
      <c r="C86" s="4" t="inlineStr">
        <is>
          <t>Food &amp; Beverage</t>
        </is>
      </c>
      <c r="D86" s="4" t="inlineStr">
        <is>
          <t>Outlet and Table Configuration</t>
        </is>
      </c>
      <c r="E86" s="4" t="inlineStr">
        <is>
          <t>Complete primary Outlet and Table Configuration workflow with valid data and verify one invalid/unauthorized path.</t>
        </is>
      </c>
      <c r="F86" s="4" t="inlineStr">
        <is>
          <t>Test property, role and dependent master data exist.</t>
        </is>
      </c>
      <c r="G86" s="4" t="inlineStr">
        <is>
          <t>1. Sign in with authorized role. 2. Open screen. 3. Search/create/edit/process primary record. 4. Validate status and related screen. 5. Verify audit.</t>
        </is>
      </c>
      <c r="H86" s="4" t="inlineStr">
        <is>
          <t>Valid action succeeds once; invalid/conflicting action is blocked; related data is consistent; audit contains actor, timestamp and reason.</t>
        </is>
      </c>
      <c r="I86" s="4" t="inlineStr">
        <is>
          <t>Functional + RBAC + Integration</t>
        </is>
      </c>
      <c r="J86" s="4" t="inlineStr">
        <is>
          <t>Major</t>
        </is>
      </c>
      <c r="K86" s="4" t="n"/>
      <c r="L86" s="4" t="inlineStr">
        <is>
          <t>Not Run</t>
        </is>
      </c>
      <c r="M86" s="4" t="n"/>
    </row>
    <row r="87" ht="42" customHeight="1" s="43">
      <c r="A87" s="4" t="inlineStr">
        <is>
          <t>TC-084</t>
        </is>
      </c>
      <c r="B87" s="4" t="inlineStr">
        <is>
          <t>SCR-084</t>
        </is>
      </c>
      <c r="C87" s="4" t="inlineStr">
        <is>
          <t>Activities</t>
        </is>
      </c>
      <c r="D87" s="4" t="inlineStr">
        <is>
          <t>Create or Edit Activity</t>
        </is>
      </c>
      <c r="E87" s="4" t="inlineStr">
        <is>
          <t>Complete primary Create or Edit Activity workflow with valid data and verify one invalid/unauthorized path.</t>
        </is>
      </c>
      <c r="F87" s="4" t="inlineStr">
        <is>
          <t>Test property, role and dependent master data exist.</t>
        </is>
      </c>
      <c r="G87" s="4" t="inlineStr">
        <is>
          <t>1. Sign in with authorized role. 2. Open screen. 3. Search/create/edit/process primary record. 4. Validate status and related screen. 5. Verify audit.</t>
        </is>
      </c>
      <c r="H87" s="4" t="inlineStr">
        <is>
          <t>Valid action succeeds once; invalid/conflicting action is blocked; related data is consistent; audit contains actor, timestamp and reason.</t>
        </is>
      </c>
      <c r="I87" s="4" t="inlineStr">
        <is>
          <t>Functional + RBAC + Integration</t>
        </is>
      </c>
      <c r="J87" s="4" t="inlineStr">
        <is>
          <t>Major</t>
        </is>
      </c>
      <c r="K87" s="4" t="n"/>
      <c r="L87" s="4" t="inlineStr">
        <is>
          <t>Not Run</t>
        </is>
      </c>
      <c r="M87" s="4" t="n"/>
    </row>
    <row r="88" ht="42" customHeight="1" s="43">
      <c r="A88" s="4" t="inlineStr">
        <is>
          <t>TC-085</t>
        </is>
      </c>
      <c r="B88" s="4" t="inlineStr">
        <is>
          <t>SCR-085</t>
        </is>
      </c>
      <c r="C88" s="4" t="inlineStr">
        <is>
          <t>Activities</t>
        </is>
      </c>
      <c r="D88" s="4" t="inlineStr">
        <is>
          <t>Activity Booking Details</t>
        </is>
      </c>
      <c r="E88" s="4" t="inlineStr">
        <is>
          <t>Complete primary Activity Booking Details workflow with valid data and verify one invalid/unauthorized path.</t>
        </is>
      </c>
      <c r="F88" s="4" t="inlineStr">
        <is>
          <t>Test property, role and dependent master data exist.</t>
        </is>
      </c>
      <c r="G88" s="4" t="inlineStr">
        <is>
          <t>1. Sign in with authorized role. 2. Open screen. 3. Search/create/edit/process primary record. 4. Validate status and related screen. 5. Verify audit.</t>
        </is>
      </c>
      <c r="H88" s="4" t="inlineStr">
        <is>
          <t>Valid action succeeds once; invalid/conflicting action is blocked; related data is consistent; audit contains actor, timestamp and reason.</t>
        </is>
      </c>
      <c r="I88" s="4" t="inlineStr">
        <is>
          <t>Functional + RBAC + Integration</t>
        </is>
      </c>
      <c r="J88" s="4" t="inlineStr">
        <is>
          <t>Major</t>
        </is>
      </c>
      <c r="K88" s="4" t="n"/>
      <c r="L88" s="4" t="inlineStr">
        <is>
          <t>Not Run</t>
        </is>
      </c>
      <c r="M88" s="4" t="n"/>
    </row>
    <row r="89" ht="42" customHeight="1" s="43">
      <c r="A89" s="4" t="inlineStr">
        <is>
          <t>TC-086</t>
        </is>
      </c>
      <c r="B89" s="4" t="inlineStr">
        <is>
          <t>SCR-086</t>
        </is>
      </c>
      <c r="C89" s="4" t="inlineStr">
        <is>
          <t>Spa</t>
        </is>
      </c>
      <c r="D89" s="4" t="inlineStr">
        <is>
          <t>Spa Treatment Management</t>
        </is>
      </c>
      <c r="E89" s="4" t="inlineStr">
        <is>
          <t>Complete primary Spa Treatment Management workflow with valid data and verify one invalid/unauthorized path.</t>
        </is>
      </c>
      <c r="F89" s="4" t="inlineStr">
        <is>
          <t>Test property, role and dependent master data exist.</t>
        </is>
      </c>
      <c r="G89" s="4" t="inlineStr">
        <is>
          <t>1. Sign in with authorized role. 2. Open screen. 3. Search/create/edit/process primary record. 4. Validate status and related screen. 5. Verify audit.</t>
        </is>
      </c>
      <c r="H89" s="4" t="inlineStr">
        <is>
          <t>Valid action succeeds once; invalid/conflicting action is blocked; related data is consistent; audit contains actor, timestamp and reason.</t>
        </is>
      </c>
      <c r="I89" s="4" t="inlineStr">
        <is>
          <t>Functional + RBAC + Integration</t>
        </is>
      </c>
      <c r="J89" s="4" t="inlineStr">
        <is>
          <t>Major</t>
        </is>
      </c>
      <c r="K89" s="4" t="n"/>
      <c r="L89" s="4" t="inlineStr">
        <is>
          <t>Not Run</t>
        </is>
      </c>
      <c r="M89" s="4" t="n"/>
    </row>
    <row r="90" ht="42" customHeight="1" s="43">
      <c r="A90" s="4" t="inlineStr">
        <is>
          <t>TC-087</t>
        </is>
      </c>
      <c r="B90" s="4" t="inlineStr">
        <is>
          <t>SCR-087</t>
        </is>
      </c>
      <c r="C90" s="4" t="inlineStr">
        <is>
          <t>Spa</t>
        </is>
      </c>
      <c r="D90" s="4" t="inlineStr">
        <is>
          <t>Therapist and Resource Scheduling</t>
        </is>
      </c>
      <c r="E90" s="4" t="inlineStr">
        <is>
          <t>Complete primary Therapist and Resource Scheduling workflow with valid data and verify one invalid/unauthorized path.</t>
        </is>
      </c>
      <c r="F90" s="4" t="inlineStr">
        <is>
          <t>Test property, role and dependent master data exist.</t>
        </is>
      </c>
      <c r="G90" s="4" t="inlineStr">
        <is>
          <t>1. Sign in with authorized role. 2. Open screen. 3. Search/create/edit/process primary record. 4. Validate status and related screen. 5. Verify audit.</t>
        </is>
      </c>
      <c r="H90" s="4" t="inlineStr">
        <is>
          <t>Valid action succeeds once; invalid/conflicting action is blocked; related data is consistent; audit contains actor, timestamp and reason.</t>
        </is>
      </c>
      <c r="I90" s="4" t="inlineStr">
        <is>
          <t>Functional + RBAC + Integration</t>
        </is>
      </c>
      <c r="J90" s="4" t="inlineStr">
        <is>
          <t>Major</t>
        </is>
      </c>
      <c r="K90" s="4" t="n"/>
      <c r="L90" s="4" t="inlineStr">
        <is>
          <t>Not Run</t>
        </is>
      </c>
      <c r="M90" s="4" t="n"/>
    </row>
    <row r="91" ht="42" customHeight="1" s="43">
      <c r="A91" s="4" t="inlineStr">
        <is>
          <t>TC-088</t>
        </is>
      </c>
      <c r="B91" s="4" t="inlineStr">
        <is>
          <t>SCR-088</t>
        </is>
      </c>
      <c r="C91" s="4" t="inlineStr">
        <is>
          <t>Spa</t>
        </is>
      </c>
      <c r="D91" s="4" t="inlineStr">
        <is>
          <t>Create or Edit Spa Appointment</t>
        </is>
      </c>
      <c r="E91" s="4" t="inlineStr">
        <is>
          <t>Complete primary Create or Edit Spa Appointment workflow with valid data and verify one invalid/unauthorized path.</t>
        </is>
      </c>
      <c r="F91" s="4" t="inlineStr">
        <is>
          <t>Test property, role and dependent master data exist.</t>
        </is>
      </c>
      <c r="G91" s="4" t="inlineStr">
        <is>
          <t>1. Sign in with authorized role. 2. Open screen. 3. Search/create/edit/process primary record. 4. Validate status and related screen. 5. Verify audit.</t>
        </is>
      </c>
      <c r="H91" s="4" t="inlineStr">
        <is>
          <t>Valid action succeeds once; invalid/conflicting action is blocked; related data is consistent; audit contains actor, timestamp and reason.</t>
        </is>
      </c>
      <c r="I91" s="4" t="inlineStr">
        <is>
          <t>Functional + RBAC + Integration</t>
        </is>
      </c>
      <c r="J91" s="4" t="inlineStr">
        <is>
          <t>Major</t>
        </is>
      </c>
      <c r="K91" s="4" t="n"/>
      <c r="L91" s="4" t="inlineStr">
        <is>
          <t>Not Run</t>
        </is>
      </c>
      <c r="M91" s="4" t="n"/>
    </row>
    <row r="92" ht="42" customHeight="1" s="43">
      <c r="A92" s="4" t="inlineStr">
        <is>
          <t>TC-089</t>
        </is>
      </c>
      <c r="B92" s="4" t="inlineStr">
        <is>
          <t>SCR-089</t>
        </is>
      </c>
      <c r="C92" s="4" t="inlineStr">
        <is>
          <t>Events &amp; Banquets</t>
        </is>
      </c>
      <c r="D92" s="4" t="inlineStr">
        <is>
          <t>Event Enquiry and Lead</t>
        </is>
      </c>
      <c r="E92" s="4" t="inlineStr">
        <is>
          <t>Complete primary Event Enquiry and Lead workflow with valid data and verify one invalid/unauthorized path.</t>
        </is>
      </c>
      <c r="F92" s="4" t="inlineStr">
        <is>
          <t>Test property, role and dependent master data exist.</t>
        </is>
      </c>
      <c r="G92" s="4" t="inlineStr">
        <is>
          <t>1. Sign in with authorized role. 2. Open screen. 3. Search/create/edit/process primary record. 4. Validate status and related screen. 5. Verify audit.</t>
        </is>
      </c>
      <c r="H92" s="4" t="inlineStr">
        <is>
          <t>Valid action succeeds once; invalid/conflicting action is blocked; related data is consistent; audit contains actor, timestamp and reason.</t>
        </is>
      </c>
      <c r="I92" s="4" t="inlineStr">
        <is>
          <t>Functional + RBAC + Integration</t>
        </is>
      </c>
      <c r="J92" s="4" t="inlineStr">
        <is>
          <t>Major</t>
        </is>
      </c>
      <c r="K92" s="4" t="n"/>
      <c r="L92" s="4" t="inlineStr">
        <is>
          <t>Not Run</t>
        </is>
      </c>
      <c r="M92" s="4" t="n"/>
    </row>
    <row r="93" ht="42" customHeight="1" s="43">
      <c r="A93" s="4" t="inlineStr">
        <is>
          <t>TC-090</t>
        </is>
      </c>
      <c r="B93" s="4" t="inlineStr">
        <is>
          <t>SCR-090</t>
        </is>
      </c>
      <c r="C93" s="4" t="inlineStr">
        <is>
          <t>Events &amp; Banquets</t>
        </is>
      </c>
      <c r="D93" s="4" t="inlineStr">
        <is>
          <t>Event Quotation</t>
        </is>
      </c>
      <c r="E93" s="4" t="inlineStr">
        <is>
          <t>Complete primary Event Quotation workflow with valid data and verify one invalid/unauthorized path.</t>
        </is>
      </c>
      <c r="F93" s="4" t="inlineStr">
        <is>
          <t>Test property, role and dependent master data exist.</t>
        </is>
      </c>
      <c r="G93" s="4" t="inlineStr">
        <is>
          <t>1. Sign in with authorized role. 2. Open screen. 3. Search/create/edit/process primary record. 4. Validate status and related screen. 5. Verify audit.</t>
        </is>
      </c>
      <c r="H93" s="4" t="inlineStr">
        <is>
          <t>Valid action succeeds once; invalid/conflicting action is blocked; related data is consistent; audit contains actor, timestamp and reason.</t>
        </is>
      </c>
      <c r="I93" s="4" t="inlineStr">
        <is>
          <t>Functional + RBAC + Integration</t>
        </is>
      </c>
      <c r="J93" s="4" t="inlineStr">
        <is>
          <t>Major</t>
        </is>
      </c>
      <c r="K93" s="4" t="n"/>
      <c r="L93" s="4" t="inlineStr">
        <is>
          <t>Not Run</t>
        </is>
      </c>
      <c r="M93" s="4" t="n"/>
    </row>
    <row r="94" ht="42" customHeight="1" s="43">
      <c r="A94" s="4" t="inlineStr">
        <is>
          <t>TC-091</t>
        </is>
      </c>
      <c r="B94" s="4" t="inlineStr">
        <is>
          <t>SCR-091</t>
        </is>
      </c>
      <c r="C94" s="4" t="inlineStr">
        <is>
          <t>Events &amp; Banquets</t>
        </is>
      </c>
      <c r="D94" s="4" t="inlineStr">
        <is>
          <t>Banquet Event Order and Function Sheet</t>
        </is>
      </c>
      <c r="E94" s="4" t="inlineStr">
        <is>
          <t>Complete primary Banquet Event Order and Function Sheet workflow with valid data and verify one invalid/unauthorized path.</t>
        </is>
      </c>
      <c r="F94" s="4" t="inlineStr">
        <is>
          <t>Test property, role and dependent master data exist.</t>
        </is>
      </c>
      <c r="G94" s="4" t="inlineStr">
        <is>
          <t>1. Sign in with authorized role. 2. Open screen. 3. Search/create/edit/process primary record. 4. Validate status and related screen. 5. Verify audit.</t>
        </is>
      </c>
      <c r="H94" s="4" t="inlineStr">
        <is>
          <t>Valid action succeeds once; invalid/conflicting action is blocked; related data is consistent; audit contains actor, timestamp and reason.</t>
        </is>
      </c>
      <c r="I94" s="4" t="inlineStr">
        <is>
          <t>Functional + RBAC + Integration</t>
        </is>
      </c>
      <c r="J94" s="4" t="inlineStr">
        <is>
          <t>Major</t>
        </is>
      </c>
      <c r="K94" s="4" t="n"/>
      <c r="L94" s="4" t="inlineStr">
        <is>
          <t>Not Run</t>
        </is>
      </c>
      <c r="M94" s="4" t="n"/>
    </row>
    <row r="95" ht="42" customHeight="1" s="43">
      <c r="A95" s="4" t="inlineStr">
        <is>
          <t>TC-092</t>
        </is>
      </c>
      <c r="B95" s="4" t="inlineStr">
        <is>
          <t>SCR-092</t>
        </is>
      </c>
      <c r="C95" s="4" t="inlineStr">
        <is>
          <t>Events &amp; Banquets</t>
        </is>
      </c>
      <c r="D95" s="4" t="inlineStr">
        <is>
          <t>Modify or Cancel Event</t>
        </is>
      </c>
      <c r="E95" s="4" t="inlineStr">
        <is>
          <t>Complete primary Modify or Cancel Event workflow with valid data and verify one invalid/unauthorized path.</t>
        </is>
      </c>
      <c r="F95" s="4" t="inlineStr">
        <is>
          <t>Test property, role and dependent master data exist.</t>
        </is>
      </c>
      <c r="G95" s="4" t="inlineStr">
        <is>
          <t>1. Sign in with authorized role. 2. Open screen. 3. Search/create/edit/process primary record. 4. Validate status and related screen. 5. Verify audit.</t>
        </is>
      </c>
      <c r="H95" s="4" t="inlineStr">
        <is>
          <t>Valid action succeeds once; invalid/conflicting action is blocked; related data is consistent; audit contains actor, timestamp and reason.</t>
        </is>
      </c>
      <c r="I95" s="4" t="inlineStr">
        <is>
          <t>Functional + RBAC + Integration</t>
        </is>
      </c>
      <c r="J95" s="4" t="inlineStr">
        <is>
          <t>Major</t>
        </is>
      </c>
      <c r="K95" s="4" t="n"/>
      <c r="L95" s="4" t="inlineStr">
        <is>
          <t>Not Run</t>
        </is>
      </c>
      <c r="M95" s="4" t="n"/>
    </row>
    <row r="96" ht="42" customHeight="1" s="43">
      <c r="A96" s="4" t="inlineStr">
        <is>
          <t>TC-093</t>
        </is>
      </c>
      <c r="B96" s="4" t="inlineStr">
        <is>
          <t>SCR-093</t>
        </is>
      </c>
      <c r="C96" s="4" t="inlineStr">
        <is>
          <t>Transport</t>
        </is>
      </c>
      <c r="D96" s="4" t="inlineStr">
        <is>
          <t>Create or Edit Transport Booking</t>
        </is>
      </c>
      <c r="E96" s="4" t="inlineStr">
        <is>
          <t>Complete primary Create or Edit Transport Booking workflow with valid data and verify one invalid/unauthorized path.</t>
        </is>
      </c>
      <c r="F96" s="4" t="inlineStr">
        <is>
          <t>Test property, role and dependent master data exist.</t>
        </is>
      </c>
      <c r="G96" s="4" t="inlineStr">
        <is>
          <t>1. Sign in with authorized role. 2. Open screen. 3. Search/create/edit/process primary record. 4. Validate status and related screen. 5. Verify audit.</t>
        </is>
      </c>
      <c r="H96" s="4" t="inlineStr">
        <is>
          <t>Valid action succeeds once; invalid/conflicting action is blocked; related data is consistent; audit contains actor, timestamp and reason.</t>
        </is>
      </c>
      <c r="I96" s="4" t="inlineStr">
        <is>
          <t>Functional + RBAC + Integration</t>
        </is>
      </c>
      <c r="J96" s="4" t="inlineStr">
        <is>
          <t>Major</t>
        </is>
      </c>
      <c r="K96" s="4" t="n"/>
      <c r="L96" s="4" t="inlineStr">
        <is>
          <t>Not Run</t>
        </is>
      </c>
      <c r="M96" s="4" t="n"/>
    </row>
    <row r="97" ht="42" customHeight="1" s="43">
      <c r="A97" s="4" t="inlineStr">
        <is>
          <t>TC-094</t>
        </is>
      </c>
      <c r="B97" s="4" t="inlineStr">
        <is>
          <t>SCR-094</t>
        </is>
      </c>
      <c r="C97" s="4" t="inlineStr">
        <is>
          <t>Transport</t>
        </is>
      </c>
      <c r="D97" s="4" t="inlineStr">
        <is>
          <t>Vehicle Management</t>
        </is>
      </c>
      <c r="E97" s="4" t="inlineStr">
        <is>
          <t>Complete primary Vehicle Management workflow with valid data and verify one invalid/unauthorized path.</t>
        </is>
      </c>
      <c r="F97" s="4" t="inlineStr">
        <is>
          <t>Test property, role and dependent master data exist.</t>
        </is>
      </c>
      <c r="G97" s="4" t="inlineStr">
        <is>
          <t>1. Sign in with authorized role. 2. Open screen. 3. Search/create/edit/process primary record. 4. Validate status and related screen. 5. Verify audit.</t>
        </is>
      </c>
      <c r="H97" s="4" t="inlineStr">
        <is>
          <t>Valid action succeeds once; invalid/conflicting action is blocked; related data is consistent; audit contains actor, timestamp and reason.</t>
        </is>
      </c>
      <c r="I97" s="4" t="inlineStr">
        <is>
          <t>Functional + RBAC + Integration</t>
        </is>
      </c>
      <c r="J97" s="4" t="inlineStr">
        <is>
          <t>Major</t>
        </is>
      </c>
      <c r="K97" s="4" t="n"/>
      <c r="L97" s="4" t="inlineStr">
        <is>
          <t>Not Run</t>
        </is>
      </c>
      <c r="M97" s="4" t="n"/>
    </row>
    <row r="98" ht="42" customHeight="1" s="43">
      <c r="A98" s="4" t="inlineStr">
        <is>
          <t>TC-095</t>
        </is>
      </c>
      <c r="B98" s="4" t="inlineStr">
        <is>
          <t>SCR-095</t>
        </is>
      </c>
      <c r="C98" s="4" t="inlineStr">
        <is>
          <t>Transport</t>
        </is>
      </c>
      <c r="D98" s="4" t="inlineStr">
        <is>
          <t>Driver Management</t>
        </is>
      </c>
      <c r="E98" s="4" t="inlineStr">
        <is>
          <t>Complete primary Driver Management workflow with valid data and verify one invalid/unauthorized path.</t>
        </is>
      </c>
      <c r="F98" s="4" t="inlineStr">
        <is>
          <t>Test property, role and dependent master data exist.</t>
        </is>
      </c>
      <c r="G98" s="4" t="inlineStr">
        <is>
          <t>1. Sign in with authorized role. 2. Open screen. 3. Search/create/edit/process primary record. 4. Validate status and related screen. 5. Verify audit.</t>
        </is>
      </c>
      <c r="H98" s="4" t="inlineStr">
        <is>
          <t>Valid action succeeds once; invalid/conflicting action is blocked; related data is consistent; audit contains actor, timestamp and reason.</t>
        </is>
      </c>
      <c r="I98" s="4" t="inlineStr">
        <is>
          <t>Functional + RBAC + Integration</t>
        </is>
      </c>
      <c r="J98" s="4" t="inlineStr">
        <is>
          <t>Major</t>
        </is>
      </c>
      <c r="K98" s="4" t="n"/>
      <c r="L98" s="4" t="inlineStr">
        <is>
          <t>Not Run</t>
        </is>
      </c>
      <c r="M98" s="4" t="n"/>
    </row>
    <row r="99" ht="42" customHeight="1" s="43">
      <c r="A99" s="4" t="inlineStr">
        <is>
          <t>TC-096</t>
        </is>
      </c>
      <c r="B99" s="4" t="inlineStr">
        <is>
          <t>SCR-096</t>
        </is>
      </c>
      <c r="C99" s="4" t="inlineStr">
        <is>
          <t>Transport</t>
        </is>
      </c>
      <c r="D99" s="4" t="inlineStr">
        <is>
          <t>Trip Details and Completion</t>
        </is>
      </c>
      <c r="E99" s="4" t="inlineStr">
        <is>
          <t>Complete primary Trip Details and Completion workflow with valid data and verify one invalid/unauthorized path.</t>
        </is>
      </c>
      <c r="F99" s="4" t="inlineStr">
        <is>
          <t>Test property, role and dependent master data exist.</t>
        </is>
      </c>
      <c r="G99" s="4" t="inlineStr">
        <is>
          <t>1. Sign in with authorized role. 2. Open screen. 3. Search/create/edit/process primary record. 4. Validate status and related screen. 5. Verify audit.</t>
        </is>
      </c>
      <c r="H99" s="4" t="inlineStr">
        <is>
          <t>Valid action succeeds once; invalid/conflicting action is blocked; related data is consistent; audit contains actor, timestamp and reason.</t>
        </is>
      </c>
      <c r="I99" s="4" t="inlineStr">
        <is>
          <t>Functional + RBAC + Integration</t>
        </is>
      </c>
      <c r="J99" s="4" t="inlineStr">
        <is>
          <t>Major</t>
        </is>
      </c>
      <c r="K99" s="4" t="n"/>
      <c r="L99" s="4" t="inlineStr">
        <is>
          <t>Not Run</t>
        </is>
      </c>
      <c r="M99" s="4" t="n"/>
    </row>
    <row r="100" ht="42" customHeight="1" s="43">
      <c r="A100" s="4" t="inlineStr">
        <is>
          <t>TC-097</t>
        </is>
      </c>
      <c r="B100" s="4" t="inlineStr">
        <is>
          <t>SCR-097</t>
        </is>
      </c>
      <c r="C100" s="4" t="inlineStr">
        <is>
          <t>Maintenance</t>
        </is>
      </c>
      <c r="D100" s="4" t="inlineStr">
        <is>
          <t>Create Maintenance Work Order</t>
        </is>
      </c>
      <c r="E100" s="4" t="inlineStr">
        <is>
          <t>Complete primary Create Maintenance Work Order workflow with valid data and verify one invalid/unauthorized path.</t>
        </is>
      </c>
      <c r="F100" s="4" t="inlineStr">
        <is>
          <t>Test property, role and dependent master data exist.</t>
        </is>
      </c>
      <c r="G100" s="4" t="inlineStr">
        <is>
          <t>1. Sign in with authorized role. 2. Open screen. 3. Search/create/edit/process primary record. 4. Validate status and related screen. 5. Verify audit.</t>
        </is>
      </c>
      <c r="H100" s="4" t="inlineStr">
        <is>
          <t>Valid action succeeds once; invalid/conflicting action is blocked; related data is consistent; audit contains actor, timestamp and reason.</t>
        </is>
      </c>
      <c r="I100" s="4" t="inlineStr">
        <is>
          <t>Functional + RBAC + Integration</t>
        </is>
      </c>
      <c r="J100" s="4" t="inlineStr">
        <is>
          <t>Major</t>
        </is>
      </c>
      <c r="K100" s="4" t="n"/>
      <c r="L100" s="4" t="inlineStr">
        <is>
          <t>Not Run</t>
        </is>
      </c>
      <c r="M100" s="4" t="n"/>
    </row>
    <row r="101" ht="42" customHeight="1" s="43">
      <c r="A101" s="4" t="inlineStr">
        <is>
          <t>TC-098</t>
        </is>
      </c>
      <c r="B101" s="4" t="inlineStr">
        <is>
          <t>SCR-098</t>
        </is>
      </c>
      <c r="C101" s="4" t="inlineStr">
        <is>
          <t>Maintenance</t>
        </is>
      </c>
      <c r="D101" s="4" t="inlineStr">
        <is>
          <t>Maintenance Work Order Details and Edit</t>
        </is>
      </c>
      <c r="E101" s="4" t="inlineStr">
        <is>
          <t>Complete primary Maintenance Work Order Details and Edit workflow with valid data and verify one invalid/unauthorized path.</t>
        </is>
      </c>
      <c r="F101" s="4" t="inlineStr">
        <is>
          <t>Test property, role and dependent master data exist.</t>
        </is>
      </c>
      <c r="G101" s="4" t="inlineStr">
        <is>
          <t>1. Sign in with authorized role. 2. Open screen. 3. Search/create/edit/process primary record. 4. Validate status and related screen. 5. Verify audit.</t>
        </is>
      </c>
      <c r="H101" s="4" t="inlineStr">
        <is>
          <t>Valid action succeeds once; invalid/conflicting action is blocked; related data is consistent; audit contains actor, timestamp and reason.</t>
        </is>
      </c>
      <c r="I101" s="4" t="inlineStr">
        <is>
          <t>Functional + RBAC + Integration</t>
        </is>
      </c>
      <c r="J101" s="4" t="inlineStr">
        <is>
          <t>Major</t>
        </is>
      </c>
      <c r="K101" s="4" t="n"/>
      <c r="L101" s="4" t="inlineStr">
        <is>
          <t>Not Run</t>
        </is>
      </c>
      <c r="M101" s="4" t="n"/>
    </row>
    <row r="102" ht="42" customHeight="1" s="43">
      <c r="A102" s="4" t="inlineStr">
        <is>
          <t>TC-099</t>
        </is>
      </c>
      <c r="B102" s="4" t="inlineStr">
        <is>
          <t>SCR-099</t>
        </is>
      </c>
      <c r="C102" s="4" t="inlineStr">
        <is>
          <t>Maintenance</t>
        </is>
      </c>
      <c r="D102" s="4" t="inlineStr">
        <is>
          <t>Asset Register and Edit</t>
        </is>
      </c>
      <c r="E102" s="4" t="inlineStr">
        <is>
          <t>Complete primary Asset Register and Edit workflow with valid data and verify one invalid/unauthorized path.</t>
        </is>
      </c>
      <c r="F102" s="4" t="inlineStr">
        <is>
          <t>Test property, role and dependent master data exist.</t>
        </is>
      </c>
      <c r="G102" s="4" t="inlineStr">
        <is>
          <t>1. Sign in with authorized role. 2. Open screen. 3. Search/create/edit/process primary record. 4. Validate status and related screen. 5. Verify audit.</t>
        </is>
      </c>
      <c r="H102" s="4" t="inlineStr">
        <is>
          <t>Valid action succeeds once; invalid/conflicting action is blocked; related data is consistent; audit contains actor, timestamp and reason.</t>
        </is>
      </c>
      <c r="I102" s="4" t="inlineStr">
        <is>
          <t>Functional + RBAC + Integration</t>
        </is>
      </c>
      <c r="J102" s="4" t="inlineStr">
        <is>
          <t>Major</t>
        </is>
      </c>
      <c r="K102" s="4" t="n"/>
      <c r="L102" s="4" t="inlineStr">
        <is>
          <t>Not Run</t>
        </is>
      </c>
      <c r="M102" s="4" t="n"/>
    </row>
    <row r="103" ht="42" customHeight="1" s="43">
      <c r="A103" s="4" t="inlineStr">
        <is>
          <t>TC-100</t>
        </is>
      </c>
      <c r="B103" s="4" t="inlineStr">
        <is>
          <t>SCR-100</t>
        </is>
      </c>
      <c r="C103" s="4" t="inlineStr">
        <is>
          <t>Maintenance</t>
        </is>
      </c>
      <c r="D103" s="4" t="inlineStr">
        <is>
          <t>Preventive Maintenance Planner</t>
        </is>
      </c>
      <c r="E103" s="4" t="inlineStr">
        <is>
          <t>Complete primary Preventive Maintenance Planner workflow with valid data and verify one invalid/unauthorized path.</t>
        </is>
      </c>
      <c r="F103" s="4" t="inlineStr">
        <is>
          <t>Test property, role and dependent master data exist.</t>
        </is>
      </c>
      <c r="G103" s="4" t="inlineStr">
        <is>
          <t>1. Sign in with authorized role. 2. Open screen. 3. Search/create/edit/process primary record. 4. Validate status and related screen. 5. Verify audit.</t>
        </is>
      </c>
      <c r="H103" s="4" t="inlineStr">
        <is>
          <t>Valid action succeeds once; invalid/conflicting action is blocked; related data is consistent; audit contains actor, timestamp and reason.</t>
        </is>
      </c>
      <c r="I103" s="4" t="inlineStr">
        <is>
          <t>Functional + RBAC + Integration</t>
        </is>
      </c>
      <c r="J103" s="4" t="inlineStr">
        <is>
          <t>Major</t>
        </is>
      </c>
      <c r="K103" s="4" t="n"/>
      <c r="L103" s="4" t="inlineStr">
        <is>
          <t>Not Run</t>
        </is>
      </c>
      <c r="M103" s="4" t="n"/>
    </row>
    <row r="104" ht="42" customHeight="1" s="43">
      <c r="A104" s="4" t="inlineStr">
        <is>
          <t>TC-101</t>
        </is>
      </c>
      <c r="B104" s="4" t="inlineStr">
        <is>
          <t>SCR-101</t>
        </is>
      </c>
      <c r="C104" s="4" t="inlineStr">
        <is>
          <t>Maintenance</t>
        </is>
      </c>
      <c r="D104" s="4" t="inlineStr">
        <is>
          <t>Close or Reopen Maintenance Work Order</t>
        </is>
      </c>
      <c r="E104" s="4" t="inlineStr">
        <is>
          <t>Complete primary Close or Reopen Maintenance Work Order workflow with valid data and verify one invalid/unauthorized path.</t>
        </is>
      </c>
      <c r="F104" s="4" t="inlineStr">
        <is>
          <t>Test property, role and dependent master data exist.</t>
        </is>
      </c>
      <c r="G104" s="4" t="inlineStr">
        <is>
          <t>1. Sign in with authorized role. 2. Open screen. 3. Search/create/edit/process primary record. 4. Validate status and related screen. 5. Verify audit.</t>
        </is>
      </c>
      <c r="H104" s="4" t="inlineStr">
        <is>
          <t>Valid action succeeds once; invalid/conflicting action is blocked; related data is consistent; audit contains actor, timestamp and reason.</t>
        </is>
      </c>
      <c r="I104" s="4" t="inlineStr">
        <is>
          <t>Functional + RBAC + Integration</t>
        </is>
      </c>
      <c r="J104" s="4" t="inlineStr">
        <is>
          <t>Major</t>
        </is>
      </c>
      <c r="K104" s="4" t="n"/>
      <c r="L104" s="4" t="inlineStr">
        <is>
          <t>Not Run</t>
        </is>
      </c>
      <c r="M104" s="4" t="n"/>
    </row>
    <row r="105" ht="42" customHeight="1" s="43">
      <c r="A105" s="4" t="inlineStr">
        <is>
          <t>TC-102</t>
        </is>
      </c>
      <c r="B105" s="4" t="inlineStr">
        <is>
          <t>SCR-102</t>
        </is>
      </c>
      <c r="C105" s="4" t="inlineStr">
        <is>
          <t>Inventory</t>
        </is>
      </c>
      <c r="D105" s="4" t="inlineStr">
        <is>
          <t>Create or Edit Inventory Item</t>
        </is>
      </c>
      <c r="E105" s="4" t="inlineStr">
        <is>
          <t>Complete primary Create or Edit Inventory Item workflow with valid data and verify one invalid/unauthorized path.</t>
        </is>
      </c>
      <c r="F105" s="4" t="inlineStr">
        <is>
          <t>Test property, role and dependent master data exist.</t>
        </is>
      </c>
      <c r="G105" s="4" t="inlineStr">
        <is>
          <t>1. Sign in with authorized role. 2. Open screen. 3. Search/create/edit/process primary record. 4. Validate status and related screen. 5. Verify audit.</t>
        </is>
      </c>
      <c r="H105" s="4" t="inlineStr">
        <is>
          <t>Valid action succeeds once; invalid/conflicting action is blocked; related data is consistent; audit contains actor, timestamp and reason.</t>
        </is>
      </c>
      <c r="I105" s="4" t="inlineStr">
        <is>
          <t>Functional + RBAC + Integration</t>
        </is>
      </c>
      <c r="J105" s="4" t="inlineStr">
        <is>
          <t>Major</t>
        </is>
      </c>
      <c r="K105" s="4" t="n"/>
      <c r="L105" s="4" t="inlineStr">
        <is>
          <t>Not Run</t>
        </is>
      </c>
      <c r="M105" s="4" t="n"/>
    </row>
    <row r="106" ht="42" customHeight="1" s="43">
      <c r="A106" s="4" t="inlineStr">
        <is>
          <t>TC-103</t>
        </is>
      </c>
      <c r="B106" s="4" t="inlineStr">
        <is>
          <t>SCR-103</t>
        </is>
      </c>
      <c r="C106" s="4" t="inlineStr">
        <is>
          <t>Inventory</t>
        </is>
      </c>
      <c r="D106" s="4" t="inlineStr">
        <is>
          <t>Inventory Masters</t>
        </is>
      </c>
      <c r="E106" s="4" t="inlineStr">
        <is>
          <t>Complete primary Inventory Masters workflow with valid data and verify one invalid/unauthorized path.</t>
        </is>
      </c>
      <c r="F106" s="4" t="inlineStr">
        <is>
          <t>Test property, role and dependent master data exist.</t>
        </is>
      </c>
      <c r="G106" s="4" t="inlineStr">
        <is>
          <t>1. Sign in with authorized role. 2. Open screen. 3. Search/create/edit/process primary record. 4. Validate status and related screen. 5. Verify audit.</t>
        </is>
      </c>
      <c r="H106" s="4" t="inlineStr">
        <is>
          <t>Valid action succeeds once; invalid/conflicting action is blocked; related data is consistent; audit contains actor, timestamp and reason.</t>
        </is>
      </c>
      <c r="I106" s="4" t="inlineStr">
        <is>
          <t>Functional + RBAC + Integration</t>
        </is>
      </c>
      <c r="J106" s="4" t="inlineStr">
        <is>
          <t>Major</t>
        </is>
      </c>
      <c r="K106" s="4" t="n"/>
      <c r="L106" s="4" t="inlineStr">
        <is>
          <t>Not Run</t>
        </is>
      </c>
      <c r="M106" s="4" t="n"/>
    </row>
    <row r="107" ht="42" customHeight="1" s="43">
      <c r="A107" s="4" t="inlineStr">
        <is>
          <t>TC-104</t>
        </is>
      </c>
      <c r="B107" s="4" t="inlineStr">
        <is>
          <t>SCR-104</t>
        </is>
      </c>
      <c r="C107" s="4" t="inlineStr">
        <is>
          <t>Inventory</t>
        </is>
      </c>
      <c r="D107" s="4" t="inlineStr">
        <is>
          <t>Stock Adjustment and Write-Off</t>
        </is>
      </c>
      <c r="E107" s="4" t="inlineStr">
        <is>
          <t>Complete primary Stock Adjustment and Write-Off workflow with valid data and verify one invalid/unauthorized path.</t>
        </is>
      </c>
      <c r="F107" s="4" t="inlineStr">
        <is>
          <t>Test property, role and dependent master data exist.</t>
        </is>
      </c>
      <c r="G107" s="4" t="inlineStr">
        <is>
          <t>1. Sign in with authorized role. 2. Open screen. 3. Search/create/edit/process primary record. 4. Validate status and related screen. 5. Verify audit.</t>
        </is>
      </c>
      <c r="H107" s="4" t="inlineStr">
        <is>
          <t>Valid action succeeds once; invalid/conflicting action is blocked; related data is consistent; audit contains actor, timestamp and reason.</t>
        </is>
      </c>
      <c r="I107" s="4" t="inlineStr">
        <is>
          <t>Functional + RBAC + Integration</t>
        </is>
      </c>
      <c r="J107" s="4" t="inlineStr">
        <is>
          <t>Major</t>
        </is>
      </c>
      <c r="K107" s="4" t="n"/>
      <c r="L107" s="4" t="inlineStr">
        <is>
          <t>Not Run</t>
        </is>
      </c>
      <c r="M107" s="4" t="n"/>
    </row>
    <row r="108" ht="42" customHeight="1" s="43">
      <c r="A108" s="4" t="inlineStr">
        <is>
          <t>TC-105</t>
        </is>
      </c>
      <c r="B108" s="4" t="inlineStr">
        <is>
          <t>SCR-105</t>
        </is>
      </c>
      <c r="C108" s="4" t="inlineStr">
        <is>
          <t>Purchasing</t>
        </is>
      </c>
      <c r="D108" s="4" t="inlineStr">
        <is>
          <t>Supplier Management</t>
        </is>
      </c>
      <c r="E108" s="4" t="inlineStr">
        <is>
          <t>Complete primary Supplier Management workflow with valid data and verify one invalid/unauthorized path.</t>
        </is>
      </c>
      <c r="F108" s="4" t="inlineStr">
        <is>
          <t>Test property, role and dependent master data exist.</t>
        </is>
      </c>
      <c r="G108" s="4" t="inlineStr">
        <is>
          <t>1. Sign in with authorized role. 2. Open screen. 3. Search/create/edit/process primary record. 4. Validate status and related screen. 5. Verify audit.</t>
        </is>
      </c>
      <c r="H108" s="4" t="inlineStr">
        <is>
          <t>Valid action succeeds once; invalid/conflicting action is blocked; related data is consistent; audit contains actor, timestamp and reason.</t>
        </is>
      </c>
      <c r="I108" s="4" t="inlineStr">
        <is>
          <t>Functional + RBAC + Integration</t>
        </is>
      </c>
      <c r="J108" s="4" t="inlineStr">
        <is>
          <t>Major</t>
        </is>
      </c>
      <c r="K108" s="4" t="n"/>
      <c r="L108" s="4" t="inlineStr">
        <is>
          <t>Not Run</t>
        </is>
      </c>
      <c r="M108" s="4" t="n"/>
    </row>
    <row r="109" ht="42" customHeight="1" s="43">
      <c r="A109" s="4" t="inlineStr">
        <is>
          <t>TC-106</t>
        </is>
      </c>
      <c r="B109" s="4" t="inlineStr">
        <is>
          <t>SCR-106</t>
        </is>
      </c>
      <c r="C109" s="4" t="inlineStr">
        <is>
          <t>Purchasing</t>
        </is>
      </c>
      <c r="D109" s="4" t="inlineStr">
        <is>
          <t>Purchase Requisition</t>
        </is>
      </c>
      <c r="E109" s="4" t="inlineStr">
        <is>
          <t>Complete primary Purchase Requisition workflow with valid data and verify one invalid/unauthorized path.</t>
        </is>
      </c>
      <c r="F109" s="4" t="inlineStr">
        <is>
          <t>Test property, role and dependent master data exist.</t>
        </is>
      </c>
      <c r="G109" s="4" t="inlineStr">
        <is>
          <t>1. Sign in with authorized role. 2. Open screen. 3. Search/create/edit/process primary record. 4. Validate status and related screen. 5. Verify audit.</t>
        </is>
      </c>
      <c r="H109" s="4" t="inlineStr">
        <is>
          <t>Valid action succeeds once; invalid/conflicting action is blocked; related data is consistent; audit contains actor, timestamp and reason.</t>
        </is>
      </c>
      <c r="I109" s="4" t="inlineStr">
        <is>
          <t>Functional + RBAC + Integration</t>
        </is>
      </c>
      <c r="J109" s="4" t="inlineStr">
        <is>
          <t>Major</t>
        </is>
      </c>
      <c r="K109" s="4" t="n"/>
      <c r="L109" s="4" t="inlineStr">
        <is>
          <t>Not Run</t>
        </is>
      </c>
      <c r="M109" s="4" t="n"/>
    </row>
    <row r="110" ht="42" customHeight="1" s="43">
      <c r="A110" s="4" t="inlineStr">
        <is>
          <t>TC-107</t>
        </is>
      </c>
      <c r="B110" s="4" t="inlineStr">
        <is>
          <t>SCR-107</t>
        </is>
      </c>
      <c r="C110" s="4" t="inlineStr">
        <is>
          <t>Purchasing</t>
        </is>
      </c>
      <c r="D110" s="4" t="inlineStr">
        <is>
          <t>Purchase Order Create and Edit</t>
        </is>
      </c>
      <c r="E110" s="4" t="inlineStr">
        <is>
          <t>Complete primary Purchase Order Create and Edit workflow with valid data and verify one invalid/unauthorized path.</t>
        </is>
      </c>
      <c r="F110" s="4" t="inlineStr">
        <is>
          <t>Test property, role and dependent master data exist.</t>
        </is>
      </c>
      <c r="G110" s="4" t="inlineStr">
        <is>
          <t>1. Sign in with authorized role. 2. Open screen. 3. Search/create/edit/process primary record. 4. Validate status and related screen. 5. Verify audit.</t>
        </is>
      </c>
      <c r="H110" s="4" t="inlineStr">
        <is>
          <t>Valid action succeeds once; invalid/conflicting action is blocked; related data is consistent; audit contains actor, timestamp and reason.</t>
        </is>
      </c>
      <c r="I110" s="4" t="inlineStr">
        <is>
          <t>Functional + RBAC + Integration</t>
        </is>
      </c>
      <c r="J110" s="4" t="inlineStr">
        <is>
          <t>Major</t>
        </is>
      </c>
      <c r="K110" s="4" t="n"/>
      <c r="L110" s="4" t="inlineStr">
        <is>
          <t>Not Run</t>
        </is>
      </c>
      <c r="M110" s="4" t="n"/>
    </row>
    <row r="111" ht="42" customHeight="1" s="43">
      <c r="A111" s="4" t="inlineStr">
        <is>
          <t>TC-108</t>
        </is>
      </c>
      <c r="B111" s="4" t="inlineStr">
        <is>
          <t>SCR-108</t>
        </is>
      </c>
      <c r="C111" s="4" t="inlineStr">
        <is>
          <t>Purchasing</t>
        </is>
      </c>
      <c r="D111" s="4" t="inlineStr">
        <is>
          <t>Goods Receipt Note</t>
        </is>
      </c>
      <c r="E111" s="4" t="inlineStr">
        <is>
          <t>Complete primary Goods Receipt Note workflow with valid data and verify one invalid/unauthorized path.</t>
        </is>
      </c>
      <c r="F111" s="4" t="inlineStr">
        <is>
          <t>Test property, role and dependent master data exist.</t>
        </is>
      </c>
      <c r="G111" s="4" t="inlineStr">
        <is>
          <t>1. Sign in with authorized role. 2. Open screen. 3. Search/create/edit/process primary record. 4. Validate status and related screen. 5. Verify audit.</t>
        </is>
      </c>
      <c r="H111" s="4" t="inlineStr">
        <is>
          <t>Valid action succeeds once; invalid/conflicting action is blocked; related data is consistent; audit contains actor, timestamp and reason.</t>
        </is>
      </c>
      <c r="I111" s="4" t="inlineStr">
        <is>
          <t>Functional + RBAC + Integration</t>
        </is>
      </c>
      <c r="J111" s="4" t="inlineStr">
        <is>
          <t>Major</t>
        </is>
      </c>
      <c r="K111" s="4" t="n"/>
      <c r="L111" s="4" t="inlineStr">
        <is>
          <t>Not Run</t>
        </is>
      </c>
      <c r="M111" s="4" t="n"/>
    </row>
    <row r="112" ht="42" customHeight="1" s="43">
      <c r="A112" s="4" t="inlineStr">
        <is>
          <t>TC-109</t>
        </is>
      </c>
      <c r="B112" s="4" t="inlineStr">
        <is>
          <t>SCR-109</t>
        </is>
      </c>
      <c r="C112" s="4" t="inlineStr">
        <is>
          <t>Purchasing</t>
        </is>
      </c>
      <c r="D112" s="4" t="inlineStr">
        <is>
          <t>Supplier Return</t>
        </is>
      </c>
      <c r="E112" s="4" t="inlineStr">
        <is>
          <t>Complete primary Supplier Return workflow with valid data and verify one invalid/unauthorized path.</t>
        </is>
      </c>
      <c r="F112" s="4" t="inlineStr">
        <is>
          <t>Test property, role and dependent master data exist.</t>
        </is>
      </c>
      <c r="G112" s="4" t="inlineStr">
        <is>
          <t>1. Sign in with authorized role. 2. Open screen. 3. Search/create/edit/process primary record. 4. Validate status and related screen. 5. Verify audit.</t>
        </is>
      </c>
      <c r="H112" s="4" t="inlineStr">
        <is>
          <t>Valid action succeeds once; invalid/conflicting action is blocked; related data is consistent; audit contains actor, timestamp and reason.</t>
        </is>
      </c>
      <c r="I112" s="4" t="inlineStr">
        <is>
          <t>Functional + RBAC + Integration</t>
        </is>
      </c>
      <c r="J112" s="4" t="inlineStr">
        <is>
          <t>Major</t>
        </is>
      </c>
      <c r="K112" s="4" t="n"/>
      <c r="L112" s="4" t="inlineStr">
        <is>
          <t>Not Run</t>
        </is>
      </c>
      <c r="M112" s="4" t="n"/>
    </row>
    <row r="113" ht="42" customHeight="1" s="43">
      <c r="A113" s="4" t="inlineStr">
        <is>
          <t>TC-110</t>
        </is>
      </c>
      <c r="B113" s="4" t="inlineStr">
        <is>
          <t>SCR-110</t>
        </is>
      </c>
      <c r="C113" s="4" t="inlineStr">
        <is>
          <t>Workforce</t>
        </is>
      </c>
      <c r="D113" s="4" t="inlineStr">
        <is>
          <t>Create or Edit Employee</t>
        </is>
      </c>
      <c r="E113" s="4" t="inlineStr">
        <is>
          <t>Complete primary Create or Edit Employee workflow with valid data and verify one invalid/unauthorized path.</t>
        </is>
      </c>
      <c r="F113" s="4" t="inlineStr">
        <is>
          <t>Test property, role and dependent master data exist.</t>
        </is>
      </c>
      <c r="G113" s="4" t="inlineStr">
        <is>
          <t>1. Sign in with authorized role. 2. Open screen. 3. Search/create/edit/process primary record. 4. Validate status and related screen. 5. Verify audit.</t>
        </is>
      </c>
      <c r="H113" s="4" t="inlineStr">
        <is>
          <t>Valid action succeeds once; invalid/conflicting action is blocked; related data is consistent; audit contains actor, timestamp and reason.</t>
        </is>
      </c>
      <c r="I113" s="4" t="inlineStr">
        <is>
          <t>Functional + RBAC + Integration</t>
        </is>
      </c>
      <c r="J113" s="4" t="inlineStr">
        <is>
          <t>Major</t>
        </is>
      </c>
      <c r="K113" s="4" t="n"/>
      <c r="L113" s="4" t="inlineStr">
        <is>
          <t>Not Run</t>
        </is>
      </c>
      <c r="M113" s="4" t="n"/>
    </row>
    <row r="114" ht="42" customHeight="1" s="43">
      <c r="A114" s="4" t="inlineStr">
        <is>
          <t>TC-111</t>
        </is>
      </c>
      <c r="B114" s="4" t="inlineStr">
        <is>
          <t>SCR-111</t>
        </is>
      </c>
      <c r="C114" s="4" t="inlineStr">
        <is>
          <t>Workforce</t>
        </is>
      </c>
      <c r="D114" s="4" t="inlineStr">
        <is>
          <t>Leave and Attendance Management</t>
        </is>
      </c>
      <c r="E114" s="4" t="inlineStr">
        <is>
          <t>Complete primary Leave and Attendance Management workflow with valid data and verify one invalid/unauthorized path.</t>
        </is>
      </c>
      <c r="F114" s="4" t="inlineStr">
        <is>
          <t>Test property, role and dependent master data exist.</t>
        </is>
      </c>
      <c r="G114" s="4" t="inlineStr">
        <is>
          <t>1. Sign in with authorized role. 2. Open screen. 3. Search/create/edit/process primary record. 4. Validate status and related screen. 5. Verify audit.</t>
        </is>
      </c>
      <c r="H114" s="4" t="inlineStr">
        <is>
          <t>Valid action succeeds once; invalid/conflicting action is blocked; related data is consistent; audit contains actor, timestamp and reason.</t>
        </is>
      </c>
      <c r="I114" s="4" t="inlineStr">
        <is>
          <t>Functional + RBAC + Integration</t>
        </is>
      </c>
      <c r="J114" s="4" t="inlineStr">
        <is>
          <t>Major</t>
        </is>
      </c>
      <c r="K114" s="4" t="n"/>
      <c r="L114" s="4" t="inlineStr">
        <is>
          <t>Not Run</t>
        </is>
      </c>
      <c r="M114" s="4" t="n"/>
    </row>
    <row r="115" ht="42" customHeight="1" s="43">
      <c r="A115" s="4" t="inlineStr">
        <is>
          <t>TC-112</t>
        </is>
      </c>
      <c r="B115" s="4" t="inlineStr">
        <is>
          <t>SCR-112</t>
        </is>
      </c>
      <c r="C115" s="4" t="inlineStr">
        <is>
          <t>Workforce</t>
        </is>
      </c>
      <c r="D115" s="4" t="inlineStr">
        <is>
          <t>Shift Template and Creation</t>
        </is>
      </c>
      <c r="E115" s="4" t="inlineStr">
        <is>
          <t>Complete primary Shift Template and Creation workflow with valid data and verify one invalid/unauthorized path.</t>
        </is>
      </c>
      <c r="F115" s="4" t="inlineStr">
        <is>
          <t>Test property, role and dependent master data exist.</t>
        </is>
      </c>
      <c r="G115" s="4" t="inlineStr">
        <is>
          <t>1. Sign in with authorized role. 2. Open screen. 3. Search/create/edit/process primary record. 4. Validate status and related screen. 5. Verify audit.</t>
        </is>
      </c>
      <c r="H115" s="4" t="inlineStr">
        <is>
          <t>Valid action succeeds once; invalid/conflicting action is blocked; related data is consistent; audit contains actor, timestamp and reason.</t>
        </is>
      </c>
      <c r="I115" s="4" t="inlineStr">
        <is>
          <t>Functional + RBAC + Integration</t>
        </is>
      </c>
      <c r="J115" s="4" t="inlineStr">
        <is>
          <t>Major</t>
        </is>
      </c>
      <c r="K115" s="4" t="n"/>
      <c r="L115" s="4" t="inlineStr">
        <is>
          <t>Not Run</t>
        </is>
      </c>
      <c r="M115" s="4" t="n"/>
    </row>
    <row r="116" ht="42" customHeight="1" s="43">
      <c r="A116" s="4" t="inlineStr">
        <is>
          <t>TC-113</t>
        </is>
      </c>
      <c r="B116" s="4" t="inlineStr">
        <is>
          <t>SCR-113</t>
        </is>
      </c>
      <c r="C116" s="4" t="inlineStr">
        <is>
          <t>Workforce</t>
        </is>
      </c>
      <c r="D116" s="4" t="inlineStr">
        <is>
          <t>Roster Replacement and Shift Swap</t>
        </is>
      </c>
      <c r="E116" s="4" t="inlineStr">
        <is>
          <t>Complete primary Roster Replacement and Shift Swap workflow with valid data and verify one invalid/unauthorized path.</t>
        </is>
      </c>
      <c r="F116" s="4" t="inlineStr">
        <is>
          <t>Test property, role and dependent master data exist.</t>
        </is>
      </c>
      <c r="G116" s="4" t="inlineStr">
        <is>
          <t>1. Sign in with authorized role. 2. Open screen. 3. Search/create/edit/process primary record. 4. Validate status and related screen. 5. Verify audit.</t>
        </is>
      </c>
      <c r="H116" s="4" t="inlineStr">
        <is>
          <t>Valid action succeeds once; invalid/conflicting action is blocked; related data is consistent; audit contains actor, timestamp and reason.</t>
        </is>
      </c>
      <c r="I116" s="4" t="inlineStr">
        <is>
          <t>Functional + RBAC + Integration</t>
        </is>
      </c>
      <c r="J116" s="4" t="inlineStr">
        <is>
          <t>Major</t>
        </is>
      </c>
      <c r="K116" s="4" t="n"/>
      <c r="L116" s="4" t="inlineStr">
        <is>
          <t>Not Run</t>
        </is>
      </c>
      <c r="M116" s="4" t="n"/>
    </row>
    <row r="117" ht="42" customHeight="1" s="43">
      <c r="A117" s="4" t="inlineStr">
        <is>
          <t>TC-114</t>
        </is>
      </c>
      <c r="B117" s="4" t="inlineStr">
        <is>
          <t>SCR-114</t>
        </is>
      </c>
      <c r="C117" s="4" t="inlineStr">
        <is>
          <t>Finance</t>
        </is>
      </c>
      <c r="D117" s="4" t="inlineStr">
        <is>
          <t>Guest Folio Adjustment</t>
        </is>
      </c>
      <c r="E117" s="4" t="inlineStr">
        <is>
          <t>Complete primary Guest Folio Adjustment workflow with valid data and verify one invalid/unauthorized path.</t>
        </is>
      </c>
      <c r="F117" s="4" t="inlineStr">
        <is>
          <t>Test property, role and dependent master data exist.</t>
        </is>
      </c>
      <c r="G117" s="4" t="inlineStr">
        <is>
          <t>1. Sign in with authorized role. 2. Open screen. 3. Search/create/edit/process primary record. 4. Validate status and related screen. 5. Verify audit.</t>
        </is>
      </c>
      <c r="H117" s="4" t="inlineStr">
        <is>
          <t>Valid action succeeds once; invalid/conflicting action is blocked; related data is consistent; audit contains actor, timestamp and reason.</t>
        </is>
      </c>
      <c r="I117" s="4" t="inlineStr">
        <is>
          <t>Functional + RBAC + Integration</t>
        </is>
      </c>
      <c r="J117" s="4" t="inlineStr">
        <is>
          <t>Critical</t>
        </is>
      </c>
      <c r="K117" s="4" t="n"/>
      <c r="L117" s="4" t="inlineStr">
        <is>
          <t>Not Run</t>
        </is>
      </c>
      <c r="M117" s="4" t="n"/>
    </row>
    <row r="118" ht="42" customHeight="1" s="43">
      <c r="A118" s="4" t="inlineStr">
        <is>
          <t>TC-115</t>
        </is>
      </c>
      <c r="B118" s="4" t="inlineStr">
        <is>
          <t>SCR-115</t>
        </is>
      </c>
      <c r="C118" s="4" t="inlineStr">
        <is>
          <t>Finance</t>
        </is>
      </c>
      <c r="D118" s="4" t="inlineStr">
        <is>
          <t>Payment Details and Reversal</t>
        </is>
      </c>
      <c r="E118" s="4" t="inlineStr">
        <is>
          <t>Complete primary Payment Details and Reversal workflow with valid data and verify one invalid/unauthorized path.</t>
        </is>
      </c>
      <c r="F118" s="4" t="inlineStr">
        <is>
          <t>Test property, role and dependent master data exist.</t>
        </is>
      </c>
      <c r="G118" s="4" t="inlineStr">
        <is>
          <t>1. Sign in with authorized role. 2. Open screen. 3. Search/create/edit/process primary record. 4. Validate status and related screen. 5. Verify audit.</t>
        </is>
      </c>
      <c r="H118" s="4" t="inlineStr">
        <is>
          <t>Valid action succeeds once; invalid/conflicting action is blocked; related data is consistent; audit contains actor, timestamp and reason.</t>
        </is>
      </c>
      <c r="I118" s="4" t="inlineStr">
        <is>
          <t>Functional + RBAC + Integration</t>
        </is>
      </c>
      <c r="J118" s="4" t="inlineStr">
        <is>
          <t>Critical</t>
        </is>
      </c>
      <c r="K118" s="4" t="n"/>
      <c r="L118" s="4" t="inlineStr">
        <is>
          <t>Not Run</t>
        </is>
      </c>
      <c r="M118" s="4" t="n"/>
    </row>
    <row r="119" ht="42" customHeight="1" s="43">
      <c r="A119" s="4" t="inlineStr">
        <is>
          <t>TC-116</t>
        </is>
      </c>
      <c r="B119" s="4" t="inlineStr">
        <is>
          <t>SCR-116</t>
        </is>
      </c>
      <c r="C119" s="4" t="inlineStr">
        <is>
          <t>Finance</t>
        </is>
      </c>
      <c r="D119" s="4" t="inlineStr">
        <is>
          <t>Invoice and Credit Note</t>
        </is>
      </c>
      <c r="E119" s="4" t="inlineStr">
        <is>
          <t>Complete primary Invoice and Credit Note workflow with valid data and verify one invalid/unauthorized path.</t>
        </is>
      </c>
      <c r="F119" s="4" t="inlineStr">
        <is>
          <t>Test property, role and dependent master data exist.</t>
        </is>
      </c>
      <c r="G119" s="4" t="inlineStr">
        <is>
          <t>1. Sign in with authorized role. 2. Open screen. 3. Search/create/edit/process primary record. 4. Validate status and related screen. 5. Verify audit.</t>
        </is>
      </c>
      <c r="H119" s="4" t="inlineStr">
        <is>
          <t>Valid action succeeds once; invalid/conflicting action is blocked; related data is consistent; audit contains actor, timestamp and reason.</t>
        </is>
      </c>
      <c r="I119" s="4" t="inlineStr">
        <is>
          <t>Functional + RBAC + Integration</t>
        </is>
      </c>
      <c r="J119" s="4" t="inlineStr">
        <is>
          <t>Critical</t>
        </is>
      </c>
      <c r="K119" s="4" t="n"/>
      <c r="L119" s="4" t="inlineStr">
        <is>
          <t>Not Run</t>
        </is>
      </c>
      <c r="M119" s="4" t="n"/>
    </row>
    <row r="120" ht="42" customHeight="1" s="43">
      <c r="A120" s="4" t="inlineStr">
        <is>
          <t>TC-117</t>
        </is>
      </c>
      <c r="B120" s="4" t="inlineStr">
        <is>
          <t>SCR-117</t>
        </is>
      </c>
      <c r="C120" s="4" t="inlineStr">
        <is>
          <t>Finance</t>
        </is>
      </c>
      <c r="D120" s="4" t="inlineStr">
        <is>
          <t>Cash Drawer Open and Close</t>
        </is>
      </c>
      <c r="E120" s="4" t="inlineStr">
        <is>
          <t>Complete primary Cash Drawer Open and Close workflow with valid data and verify one invalid/unauthorized path.</t>
        </is>
      </c>
      <c r="F120" s="4" t="inlineStr">
        <is>
          <t>Test property, role and dependent master data exist.</t>
        </is>
      </c>
      <c r="G120" s="4" t="inlineStr">
        <is>
          <t>1. Sign in with authorized role. 2. Open screen. 3. Search/create/edit/process primary record. 4. Validate status and related screen. 5. Verify audit.</t>
        </is>
      </c>
      <c r="H120" s="4" t="inlineStr">
        <is>
          <t>Valid action succeeds once; invalid/conflicting action is blocked; related data is consistent; audit contains actor, timestamp and reason.</t>
        </is>
      </c>
      <c r="I120" s="4" t="inlineStr">
        <is>
          <t>Functional + RBAC + Integration</t>
        </is>
      </c>
      <c r="J120" s="4" t="inlineStr">
        <is>
          <t>Critical</t>
        </is>
      </c>
      <c r="K120" s="4" t="n"/>
      <c r="L120" s="4" t="inlineStr">
        <is>
          <t>Not Run</t>
        </is>
      </c>
      <c r="M120" s="4" t="n"/>
    </row>
    <row r="121" ht="42" customHeight="1" s="43">
      <c r="A121" s="4" t="inlineStr">
        <is>
          <t>TC-118</t>
        </is>
      </c>
      <c r="B121" s="4" t="inlineStr">
        <is>
          <t>SCR-118</t>
        </is>
      </c>
      <c r="C121" s="4" t="inlineStr">
        <is>
          <t>Finance</t>
        </is>
      </c>
      <c r="D121" s="4" t="inlineStr">
        <is>
          <t>Tax and Service Charge Setup</t>
        </is>
      </c>
      <c r="E121" s="4" t="inlineStr">
        <is>
          <t>Complete primary Tax and Service Charge Setup workflow with valid data and verify one invalid/unauthorized path.</t>
        </is>
      </c>
      <c r="F121" s="4" t="inlineStr">
        <is>
          <t>Test property, role and dependent master data exist.</t>
        </is>
      </c>
      <c r="G121" s="4" t="inlineStr">
        <is>
          <t>1. Sign in with authorized role. 2. Open screen. 3. Search/create/edit/process primary record. 4. Validate status and related screen. 5. Verify audit.</t>
        </is>
      </c>
      <c r="H121" s="4" t="inlineStr">
        <is>
          <t>Valid action succeeds once; invalid/conflicting action is blocked; related data is consistent; audit contains actor, timestamp and reason.</t>
        </is>
      </c>
      <c r="I121" s="4" t="inlineStr">
        <is>
          <t>Functional + RBAC + Integration</t>
        </is>
      </c>
      <c r="J121" s="4" t="inlineStr">
        <is>
          <t>Critical</t>
        </is>
      </c>
      <c r="K121" s="4" t="n"/>
      <c r="L121" s="4" t="inlineStr">
        <is>
          <t>Not Run</t>
        </is>
      </c>
      <c r="M121" s="4" t="n"/>
    </row>
    <row r="122" ht="42" customHeight="1" s="43">
      <c r="A122" s="4" t="inlineStr">
        <is>
          <t>TC-119</t>
        </is>
      </c>
      <c r="B122" s="4" t="inlineStr">
        <is>
          <t>SCR-119</t>
        </is>
      </c>
      <c r="C122" s="4" t="inlineStr">
        <is>
          <t>Revenue Management</t>
        </is>
      </c>
      <c r="D122" s="4" t="inlineStr">
        <is>
          <t>Rate Rule Editor</t>
        </is>
      </c>
      <c r="E122" s="4" t="inlineStr">
        <is>
          <t>Complete primary Rate Rule Editor workflow with valid data and verify one invalid/unauthorized path.</t>
        </is>
      </c>
      <c r="F122" s="4" t="inlineStr">
        <is>
          <t>Test property, role and dependent master data exist.</t>
        </is>
      </c>
      <c r="G122" s="4" t="inlineStr">
        <is>
          <t>1. Sign in with authorized role. 2. Open screen. 3. Search/create/edit/process primary record. 4. Validate status and related screen. 5. Verify audit.</t>
        </is>
      </c>
      <c r="H122" s="4" t="inlineStr">
        <is>
          <t>Valid action succeeds once; invalid/conflicting action is blocked; related data is consistent; audit contains actor, timestamp and reason.</t>
        </is>
      </c>
      <c r="I122" s="4" t="inlineStr">
        <is>
          <t>Functional + RBAC + Integration</t>
        </is>
      </c>
      <c r="J122" s="4" t="inlineStr">
        <is>
          <t>Critical</t>
        </is>
      </c>
      <c r="K122" s="4" t="n"/>
      <c r="L122" s="4" t="inlineStr">
        <is>
          <t>Not Run</t>
        </is>
      </c>
      <c r="M122" s="4" t="n"/>
    </row>
    <row r="123" ht="42" customHeight="1" s="43">
      <c r="A123" s="4" t="inlineStr">
        <is>
          <t>TC-120</t>
        </is>
      </c>
      <c r="B123" s="4" t="inlineStr">
        <is>
          <t>SCR-120</t>
        </is>
      </c>
      <c r="C123" s="4" t="inlineStr">
        <is>
          <t>Distribution</t>
        </is>
      </c>
      <c r="D123" s="4" t="inlineStr">
        <is>
          <t>Channel Connection and Mapping</t>
        </is>
      </c>
      <c r="E123" s="4" t="inlineStr">
        <is>
          <t>Complete primary Channel Connection and Mapping workflow with valid data and verify one invalid/unauthorized path.</t>
        </is>
      </c>
      <c r="F123" s="4" t="inlineStr">
        <is>
          <t>Test property, role and dependent master data exist.</t>
        </is>
      </c>
      <c r="G123" s="4" t="inlineStr">
        <is>
          <t>1. Sign in with authorized role. 2. Open screen. 3. Search/create/edit/process primary record. 4. Validate status and related screen. 5. Verify audit.</t>
        </is>
      </c>
      <c r="H123" s="4" t="inlineStr">
        <is>
          <t>Valid action succeeds once; invalid/conflicting action is blocked; related data is consistent; audit contains actor, timestamp and reason.</t>
        </is>
      </c>
      <c r="I123" s="4" t="inlineStr">
        <is>
          <t>Functional + RBAC + Integration</t>
        </is>
      </c>
      <c r="J123" s="4" t="inlineStr">
        <is>
          <t>Critical</t>
        </is>
      </c>
      <c r="K123" s="4" t="n"/>
      <c r="L123" s="4" t="inlineStr">
        <is>
          <t>Not Run</t>
        </is>
      </c>
      <c r="M123" s="4" t="n"/>
    </row>
    <row r="124" ht="42" customHeight="1" s="43">
      <c r="A124" s="4" t="inlineStr">
        <is>
          <t>TC-121</t>
        </is>
      </c>
      <c r="B124" s="4" t="inlineStr">
        <is>
          <t>SCR-121</t>
        </is>
      </c>
      <c r="C124" s="4" t="inlineStr">
        <is>
          <t>Revenue Management</t>
        </is>
      </c>
      <c r="D124" s="4" t="inlineStr">
        <is>
          <t>Bulk Restrictions and Stop Sell</t>
        </is>
      </c>
      <c r="E124" s="4" t="inlineStr">
        <is>
          <t>Complete primary Bulk Restrictions and Stop Sell workflow with valid data and verify one invalid/unauthorized path.</t>
        </is>
      </c>
      <c r="F124" s="4" t="inlineStr">
        <is>
          <t>Test property, role and dependent master data exist.</t>
        </is>
      </c>
      <c r="G124" s="4" t="inlineStr">
        <is>
          <t>1. Sign in with authorized role. 2. Open screen. 3. Search/create/edit/process primary record. 4. Validate status and related screen. 5. Verify audit.</t>
        </is>
      </c>
      <c r="H124" s="4" t="inlineStr">
        <is>
          <t>Valid action succeeds once; invalid/conflicting action is blocked; related data is consistent; audit contains actor, timestamp and reason.</t>
        </is>
      </c>
      <c r="I124" s="4" t="inlineStr">
        <is>
          <t>Functional + RBAC + Integration</t>
        </is>
      </c>
      <c r="J124" s="4" t="inlineStr">
        <is>
          <t>Critical</t>
        </is>
      </c>
      <c r="K124" s="4" t="n"/>
      <c r="L124" s="4" t="inlineStr">
        <is>
          <t>Not Run</t>
        </is>
      </c>
      <c r="M124" s="4" t="n"/>
    </row>
    <row r="125" ht="42" customHeight="1" s="43">
      <c r="A125" s="4" t="inlineStr">
        <is>
          <t>TC-122</t>
        </is>
      </c>
      <c r="B125" s="4" t="inlineStr">
        <is>
          <t>SCR-122</t>
        </is>
      </c>
      <c r="C125" s="4" t="inlineStr">
        <is>
          <t>Sales &amp; Marketing</t>
        </is>
      </c>
      <c r="D125" s="4" t="inlineStr">
        <is>
          <t>Guest Campaign Management</t>
        </is>
      </c>
      <c r="E125" s="4" t="inlineStr">
        <is>
          <t>Complete primary Guest Campaign Management workflow with valid data and verify one invalid/unauthorized path.</t>
        </is>
      </c>
      <c r="F125" s="4" t="inlineStr">
        <is>
          <t>Test property, role and dependent master data exist.</t>
        </is>
      </c>
      <c r="G125" s="4" t="inlineStr">
        <is>
          <t>1. Sign in with authorized role. 2. Open screen. 3. Search/create/edit/process primary record. 4. Validate status and related screen. 5. Verify audit.</t>
        </is>
      </c>
      <c r="H125" s="4" t="inlineStr">
        <is>
          <t>Valid action succeeds once; invalid/conflicting action is blocked; related data is consistent; audit contains actor, timestamp and reason.</t>
        </is>
      </c>
      <c r="I125" s="4" t="inlineStr">
        <is>
          <t>Functional + RBAC + Integration</t>
        </is>
      </c>
      <c r="J125" s="4" t="inlineStr">
        <is>
          <t>Major</t>
        </is>
      </c>
      <c r="K125" s="4" t="n"/>
      <c r="L125" s="4" t="inlineStr">
        <is>
          <t>Not Run</t>
        </is>
      </c>
      <c r="M125" s="4" t="n"/>
    </row>
    <row r="126" ht="42" customHeight="1" s="43">
      <c r="A126" s="4" t="inlineStr">
        <is>
          <t>TC-123</t>
        </is>
      </c>
      <c r="B126" s="4" t="inlineStr">
        <is>
          <t>SCR-123</t>
        </is>
      </c>
      <c r="C126" s="4" t="inlineStr">
        <is>
          <t>Administration</t>
        </is>
      </c>
      <c r="D126" s="4" t="inlineStr">
        <is>
          <t>Property Master Setup</t>
        </is>
      </c>
      <c r="E126" s="4" t="inlineStr">
        <is>
          <t>Complete primary Property Master Setup workflow with valid data and verify one invalid/unauthorized path.</t>
        </is>
      </c>
      <c r="F126" s="4" t="inlineStr">
        <is>
          <t>Test property, role and dependent master data exist.</t>
        </is>
      </c>
      <c r="G126" s="4" t="inlineStr">
        <is>
          <t>1. Sign in with authorized role. 2. Open screen. 3. Search/create/edit/process primary record. 4. Validate status and related screen. 5. Verify audit.</t>
        </is>
      </c>
      <c r="H126" s="4" t="inlineStr">
        <is>
          <t>Valid action succeeds once; invalid/conflicting action is blocked; related data is consistent; audit contains actor, timestamp and reason.</t>
        </is>
      </c>
      <c r="I126" s="4" t="inlineStr">
        <is>
          <t>Functional + RBAC + Integration</t>
        </is>
      </c>
      <c r="J126" s="4" t="inlineStr">
        <is>
          <t>Critical</t>
        </is>
      </c>
      <c r="K126" s="4" t="n"/>
      <c r="L126" s="4" t="inlineStr">
        <is>
          <t>Not Run</t>
        </is>
      </c>
      <c r="M126" s="4" t="n"/>
    </row>
    <row r="127" ht="42" customHeight="1" s="43">
      <c r="A127" s="4" t="inlineStr">
        <is>
          <t>TC-124</t>
        </is>
      </c>
      <c r="B127" s="4" t="inlineStr">
        <is>
          <t>SCR-124</t>
        </is>
      </c>
      <c r="C127" s="4" t="inlineStr">
        <is>
          <t>Integrations</t>
        </is>
      </c>
      <c r="D127" s="4" t="inlineStr">
        <is>
          <t>Integration Hub</t>
        </is>
      </c>
      <c r="E127" s="4" t="inlineStr">
        <is>
          <t>Complete primary Integration Hub workflow with valid data and verify one invalid/unauthorized path.</t>
        </is>
      </c>
      <c r="F127" s="4" t="inlineStr">
        <is>
          <t>Test property, role and dependent master data exist.</t>
        </is>
      </c>
      <c r="G127" s="4" t="inlineStr">
        <is>
          <t>1. Sign in with authorized role. 2. Open screen. 3. Search/create/edit/process primary record. 4. Validate status and related screen. 5. Verify audit.</t>
        </is>
      </c>
      <c r="H127" s="4" t="inlineStr">
        <is>
          <t>Valid action succeeds once; invalid/conflicting action is blocked; related data is consistent; audit contains actor, timestamp and reason.</t>
        </is>
      </c>
      <c r="I127" s="4" t="inlineStr">
        <is>
          <t>Functional + RBAC + Integration</t>
        </is>
      </c>
      <c r="J127" s="4" t="inlineStr">
        <is>
          <t>Major</t>
        </is>
      </c>
      <c r="K127" s="4" t="n"/>
      <c r="L127" s="4" t="inlineStr">
        <is>
          <t>Not Run</t>
        </is>
      </c>
      <c r="M127" s="4" t="n"/>
    </row>
    <row r="128" ht="42" customHeight="1" s="43">
      <c r="A128" s="4" t="inlineStr">
        <is>
          <t>TC-125</t>
        </is>
      </c>
      <c r="B128" s="4" t="inlineStr">
        <is>
          <t>SCR-125</t>
        </is>
      </c>
      <c r="C128" s="4" t="inlineStr">
        <is>
          <t>Administration</t>
        </is>
      </c>
      <c r="D128" s="4" t="inlineStr">
        <is>
          <t>Notification Template Management</t>
        </is>
      </c>
      <c r="E128" s="4" t="inlineStr">
        <is>
          <t>Complete primary Notification Template Management workflow with valid data and verify one invalid/unauthorized path.</t>
        </is>
      </c>
      <c r="F128" s="4" t="inlineStr">
        <is>
          <t>Test property, role and dependent master data exist.</t>
        </is>
      </c>
      <c r="G128" s="4" t="inlineStr">
        <is>
          <t>1. Sign in with authorized role. 2. Open screen. 3. Search/create/edit/process primary record. 4. Validate status and related screen. 5. Verify audit.</t>
        </is>
      </c>
      <c r="H128" s="4" t="inlineStr">
        <is>
          <t>Valid action succeeds once; invalid/conflicting action is blocked; related data is consistent; audit contains actor, timestamp and reason.</t>
        </is>
      </c>
      <c r="I128" s="4" t="inlineStr">
        <is>
          <t>Functional + RBAC + Integration</t>
        </is>
      </c>
      <c r="J128" s="4" t="inlineStr">
        <is>
          <t>Critical</t>
        </is>
      </c>
      <c r="K128" s="4" t="n"/>
      <c r="L128" s="4" t="inlineStr">
        <is>
          <t>Not Run</t>
        </is>
      </c>
      <c r="M128" s="4" t="n"/>
    </row>
    <row r="129" ht="42" customHeight="1" s="43">
      <c r="A129" s="4" t="inlineStr">
        <is>
          <t>TC-126</t>
        </is>
      </c>
      <c r="B129" s="4" t="inlineStr">
        <is>
          <t>SCR-126</t>
        </is>
      </c>
      <c r="C129" s="4" t="inlineStr">
        <is>
          <t>Administration</t>
        </is>
      </c>
      <c r="D129" s="4" t="inlineStr">
        <is>
          <t>Data Import and Export Center</t>
        </is>
      </c>
      <c r="E129" s="4" t="inlineStr">
        <is>
          <t>Complete primary Data Import and Export Center workflow with valid data and verify one invalid/unauthorized path.</t>
        </is>
      </c>
      <c r="F129" s="4" t="inlineStr">
        <is>
          <t>Test property, role and dependent master data exist.</t>
        </is>
      </c>
      <c r="G129" s="4" t="inlineStr">
        <is>
          <t>1. Sign in with authorized role. 2. Open screen. 3. Search/create/edit/process primary record. 4. Validate status and related screen. 5. Verify audit.</t>
        </is>
      </c>
      <c r="H129" s="4" t="inlineStr">
        <is>
          <t>Valid action succeeds once; invalid/conflicting action is blocked; related data is consistent; audit contains actor, timestamp and reason.</t>
        </is>
      </c>
      <c r="I129" s="4" t="inlineStr">
        <is>
          <t>Functional + RBAC + Integration</t>
        </is>
      </c>
      <c r="J129" s="4" t="inlineStr">
        <is>
          <t>Critical</t>
        </is>
      </c>
      <c r="K129" s="4" t="n"/>
      <c r="L129" s="4" t="inlineStr">
        <is>
          <t>Not Run</t>
        </is>
      </c>
      <c r="M129" s="4" t="n"/>
    </row>
    <row r="130" ht="42" customHeight="1" s="43">
      <c r="A130" s="4" t="inlineStr">
        <is>
          <t>TC-127</t>
        </is>
      </c>
      <c r="B130" s="4" t="inlineStr">
        <is>
          <t>SCR-127</t>
        </is>
      </c>
      <c r="C130" s="4" t="inlineStr">
        <is>
          <t>AI &amp; Automation</t>
        </is>
      </c>
      <c r="D130" s="4" t="inlineStr">
        <is>
          <t>AI Agent Builder</t>
        </is>
      </c>
      <c r="E130" s="4" t="inlineStr">
        <is>
          <t>Complete primary AI Agent Builder workflow with valid data and verify one invalid/unauthorized path.</t>
        </is>
      </c>
      <c r="F130" s="4" t="inlineStr">
        <is>
          <t>Test property, role and dependent master data exist.</t>
        </is>
      </c>
      <c r="G130" s="4" t="inlineStr">
        <is>
          <t>1. Sign in with authorized role. 2. Open screen. 3. Search/create/edit/process primary record. 4. Validate status and related screen. 5. Verify audit.</t>
        </is>
      </c>
      <c r="H130" s="4" t="inlineStr">
        <is>
          <t>Valid action succeeds once; invalid/conflicting action is blocked; related data is consistent; audit contains actor, timestamp and reason.</t>
        </is>
      </c>
      <c r="I130" s="4" t="inlineStr">
        <is>
          <t>Functional + RBAC + Integration</t>
        </is>
      </c>
      <c r="J130" s="4" t="inlineStr">
        <is>
          <t>Major</t>
        </is>
      </c>
      <c r="K130" s="4" t="n"/>
      <c r="L130" s="4" t="inlineStr">
        <is>
          <t>Not Run</t>
        </is>
      </c>
      <c r="M130" s="4" t="n"/>
    </row>
    <row r="131" ht="42" customHeight="1" s="43">
      <c r="A131" s="4" t="inlineStr">
        <is>
          <t>TC-128</t>
        </is>
      </c>
      <c r="B131" s="4" t="inlineStr">
        <is>
          <t>SCR-128</t>
        </is>
      </c>
      <c r="C131" s="4" t="inlineStr">
        <is>
          <t>AI &amp; Automation</t>
        </is>
      </c>
      <c r="D131" s="4" t="inlineStr">
        <is>
          <t>AI Test Call and Transcript</t>
        </is>
      </c>
      <c r="E131" s="4" t="inlineStr">
        <is>
          <t>Complete primary AI Test Call and Transcript workflow with valid data and verify one invalid/unauthorized path.</t>
        </is>
      </c>
      <c r="F131" s="4" t="inlineStr">
        <is>
          <t>Test property, role and dependent master data exist.</t>
        </is>
      </c>
      <c r="G131" s="4" t="inlineStr">
        <is>
          <t>1. Sign in with authorized role. 2. Open screen. 3. Search/create/edit/process primary record. 4. Validate status and related screen. 5. Verify audit.</t>
        </is>
      </c>
      <c r="H131" s="4" t="inlineStr">
        <is>
          <t>Valid action succeeds once; invalid/conflicting action is blocked; related data is consistent; audit contains actor, timestamp and reason.</t>
        </is>
      </c>
      <c r="I131" s="4" t="inlineStr">
        <is>
          <t>Functional + RBAC + Integration</t>
        </is>
      </c>
      <c r="J131" s="4" t="inlineStr">
        <is>
          <t>Major</t>
        </is>
      </c>
      <c r="K131" s="4" t="n"/>
      <c r="L131" s="4" t="inlineStr">
        <is>
          <t>Not Run</t>
        </is>
      </c>
      <c r="M131" s="4" t="n"/>
    </row>
    <row r="132" ht="42" customHeight="1" s="43">
      <c r="A132" s="4" t="inlineStr">
        <is>
          <t>TC-129</t>
        </is>
      </c>
      <c r="B132" s="4" t="inlineStr">
        <is>
          <t>SCR-129</t>
        </is>
      </c>
      <c r="C132" s="4" t="inlineStr">
        <is>
          <t>AI &amp; Automation</t>
        </is>
      </c>
      <c r="D132" s="4" t="inlineStr">
        <is>
          <t>AI Knowledge Document Manager</t>
        </is>
      </c>
      <c r="E132" s="4" t="inlineStr">
        <is>
          <t>Complete primary AI Knowledge Document Manager workflow with valid data and verify one invalid/unauthorized path.</t>
        </is>
      </c>
      <c r="F132" s="4" t="inlineStr">
        <is>
          <t>Test property, role and dependent master data exist.</t>
        </is>
      </c>
      <c r="G132" s="4" t="inlineStr">
        <is>
          <t>1. Sign in with authorized role. 2. Open screen. 3. Search/create/edit/process primary record. 4. Validate status and related screen. 5. Verify audit.</t>
        </is>
      </c>
      <c r="H132" s="4" t="inlineStr">
        <is>
          <t>Valid action succeeds once; invalid/conflicting action is blocked; related data is consistent; audit contains actor, timestamp and reason.</t>
        </is>
      </c>
      <c r="I132" s="4" t="inlineStr">
        <is>
          <t>Functional + RBAC + Integration</t>
        </is>
      </c>
      <c r="J132" s="4" t="inlineStr">
        <is>
          <t>Major</t>
        </is>
      </c>
      <c r="K132" s="4" t="n"/>
      <c r="L132" s="4" t="inlineStr">
        <is>
          <t>Not Run</t>
        </is>
      </c>
      <c r="M132" s="4" t="n"/>
    </row>
    <row r="133" ht="42" customHeight="1" s="43">
      <c r="A133" s="4" t="inlineStr">
        <is>
          <t>TC-130</t>
        </is>
      </c>
      <c r="B133" s="4" t="inlineStr">
        <is>
          <t>SCR-130</t>
        </is>
      </c>
      <c r="C133" s="4" t="inlineStr">
        <is>
          <t>Partner Portal</t>
        </is>
      </c>
      <c r="D133" s="4" t="inlineStr">
        <is>
          <t>Portal Booking Management</t>
        </is>
      </c>
      <c r="E133" s="4" t="inlineStr">
        <is>
          <t>Complete primary Portal Booking Management workflow with valid data and verify one invalid/unauthorized path.</t>
        </is>
      </c>
      <c r="F133" s="4" t="inlineStr">
        <is>
          <t>Test property, role and dependent master data exist.</t>
        </is>
      </c>
      <c r="G133" s="4" t="inlineStr">
        <is>
          <t>1. Sign in with authorized role. 2. Open screen. 3. Search/create/edit/process primary record. 4. Validate status and related screen. 5. Verify audit.</t>
        </is>
      </c>
      <c r="H133" s="4" t="inlineStr">
        <is>
          <t>Valid action succeeds once; invalid/conflicting action is blocked; related data is consistent; audit contains actor, timestamp and reason.</t>
        </is>
      </c>
      <c r="I133" s="4" t="inlineStr">
        <is>
          <t>Functional + RBAC + Integration</t>
        </is>
      </c>
      <c r="J133" s="4" t="inlineStr">
        <is>
          <t>Major</t>
        </is>
      </c>
      <c r="K133" s="4" t="n"/>
      <c r="L133" s="4" t="inlineStr">
        <is>
          <t>Not Run</t>
        </is>
      </c>
      <c r="M133" s="4" t="n"/>
    </row>
  </sheetData>
  <mergeCells count="1">
    <mergeCell ref="A1:M1"/>
  </mergeCells>
  <conditionalFormatting sqref="L4:L133">
    <cfRule type="containsText" priority="1" operator="containsText" dxfId="5" text="Done"/>
    <cfRule type="containsText" priority="2" operator="containsText" dxfId="4" text="Blocked"/>
    <cfRule type="containsText" priority="3" operator="containsText" dxfId="3" text="In Progress"/>
  </conditionalFormatting>
  <dataValidations count="1">
    <dataValidation sqref="L4:L133" showDropDown="0" showInputMessage="0" showErrorMessage="0" allowBlank="0" type="list">
      <formula1>"Not Run,Passed,Failed,Blocked"</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F17"/>
  <sheetViews>
    <sheetView showGridLines="0" workbookViewId="0">
      <selection activeCell="A1" sqref="A1"/>
    </sheetView>
  </sheetViews>
  <sheetFormatPr baseColWidth="8" defaultRowHeight="14"/>
  <cols>
    <col width="20" customWidth="1" style="43" min="1" max="1"/>
    <col width="34" customWidth="1" style="43" min="2" max="2"/>
    <col width="18" customWidth="1" style="43" min="3" max="5"/>
    <col width="25" customWidth="1" style="43" min="6" max="6"/>
  </cols>
  <sheetData>
    <row r="1" ht="30" customHeight="1" s="43">
      <c r="A1" s="50" t="inlineStr">
        <is>
          <t>Tracker Lists, Definitions &amp; Update Guidance</t>
        </is>
      </c>
    </row>
    <row r="3">
      <c r="A3" s="1" t="inlineStr">
        <is>
          <t>Development Status</t>
        </is>
      </c>
      <c r="B3" s="2" t="inlineStr">
        <is>
          <t>Progress</t>
        </is>
      </c>
      <c r="C3" s="2" t="inlineStr">
        <is>
          <t>Priority</t>
        </is>
      </c>
      <c r="D3" s="2" t="inlineStr">
        <is>
          <t>Design Status</t>
        </is>
      </c>
      <c r="E3" s="2" t="inlineStr">
        <is>
          <t>Test Status</t>
        </is>
      </c>
      <c r="F3" s="3" t="inlineStr">
        <is>
          <t>Permission Legend</t>
        </is>
      </c>
    </row>
    <row r="4">
      <c r="A4" s="4" t="inlineStr">
        <is>
          <t>Not Started</t>
        </is>
      </c>
      <c r="B4" s="5" t="n">
        <v>0</v>
      </c>
      <c r="C4" s="4" t="inlineStr">
        <is>
          <t>Must Have</t>
        </is>
      </c>
      <c r="D4" s="4" t="inlineStr">
        <is>
          <t>Completed</t>
        </is>
      </c>
      <c r="E4" s="4" t="inlineStr">
        <is>
          <t>Not Run</t>
        </is>
      </c>
      <c r="F4" s="4" t="inlineStr">
        <is>
          <t>V = View</t>
        </is>
      </c>
    </row>
    <row r="5">
      <c r="A5" s="4" t="inlineStr">
        <is>
          <t>UX/UI</t>
        </is>
      </c>
      <c r="B5" s="5" t="n">
        <v>0.1</v>
      </c>
      <c r="C5" s="4" t="inlineStr">
        <is>
          <t>Should Have</t>
        </is>
      </c>
      <c r="D5" s="4" t="inlineStr">
        <is>
          <t>Pending</t>
        </is>
      </c>
      <c r="E5" s="4" t="inlineStr">
        <is>
          <t>Passed</t>
        </is>
      </c>
      <c r="F5" s="4" t="inlineStr">
        <is>
          <t>C = Create</t>
        </is>
      </c>
    </row>
    <row r="6">
      <c r="A6" s="4" t="inlineStr">
        <is>
          <t>Backend</t>
        </is>
      </c>
      <c r="B6" s="5" t="n">
        <v>0.35</v>
      </c>
      <c r="C6" s="4" t="inlineStr">
        <is>
          <t>Could Have</t>
        </is>
      </c>
      <c r="D6" s="4" t="n"/>
      <c r="E6" s="4" t="inlineStr">
        <is>
          <t>Failed</t>
        </is>
      </c>
      <c r="F6" s="4" t="inlineStr">
        <is>
          <t>E = Edit</t>
        </is>
      </c>
    </row>
    <row r="7">
      <c r="A7" s="4" t="inlineStr">
        <is>
          <t>Frontend</t>
        </is>
      </c>
      <c r="B7" s="5" t="n">
        <v>0.55</v>
      </c>
      <c r="C7" s="4" t="inlineStr">
        <is>
          <t>Won't Have Now</t>
        </is>
      </c>
      <c r="D7" s="4" t="n"/>
      <c r="E7" s="4" t="inlineStr">
        <is>
          <t>Blocked</t>
        </is>
      </c>
      <c r="F7" s="4" t="inlineStr">
        <is>
          <t>D = Delete/Deactivate</t>
        </is>
      </c>
    </row>
    <row r="8">
      <c r="A8" s="4" t="inlineStr">
        <is>
          <t>Integration</t>
        </is>
      </c>
      <c r="B8" s="5" t="n">
        <v>0.75</v>
      </c>
      <c r="C8" s="4" t="n"/>
      <c r="D8" s="4" t="n"/>
      <c r="E8" s="4" t="n"/>
      <c r="F8" s="4" t="inlineStr">
        <is>
          <t>A = Approve/Override</t>
        </is>
      </c>
    </row>
    <row r="9">
      <c r="A9" s="4" t="inlineStr">
        <is>
          <t>QA</t>
        </is>
      </c>
      <c r="B9" s="5" t="n">
        <v>0.9</v>
      </c>
      <c r="C9" s="4" t="n"/>
      <c r="D9" s="4" t="n"/>
      <c r="E9" s="4" t="n"/>
      <c r="F9" s="4" t="inlineStr">
        <is>
          <t>X = No Access</t>
        </is>
      </c>
    </row>
    <row r="10">
      <c r="A10" s="4" t="inlineStr">
        <is>
          <t>Blocked</t>
        </is>
      </c>
      <c r="B10" s="5" t="n">
        <v>0</v>
      </c>
      <c r="C10" s="4" t="n"/>
      <c r="D10" s="4" t="n"/>
      <c r="E10" s="4" t="n"/>
      <c r="F10" s="4" t="inlineStr">
        <is>
          <t>S = Self-service only</t>
        </is>
      </c>
    </row>
    <row r="11">
      <c r="A11" s="4" t="inlineStr">
        <is>
          <t>Done</t>
        </is>
      </c>
      <c r="B11" s="5" t="n">
        <v>1</v>
      </c>
      <c r="C11" s="4" t="n"/>
      <c r="D11" s="4" t="n"/>
      <c r="E11" s="4" t="n"/>
      <c r="F11" s="4" t="n"/>
    </row>
    <row r="13">
      <c r="A13" s="6" t="inlineStr">
        <is>
          <t>How to use</t>
        </is>
      </c>
      <c r="B13" s="54" t="inlineStr">
        <is>
          <t>1. Update Development Status, Owner, planned dates and Remarks in Screen Requirements.</t>
        </is>
      </c>
    </row>
    <row r="14">
      <c r="A14" s="6" t="inlineStr">
        <is>
          <t>Progress</t>
        </is>
      </c>
      <c r="B14" s="54" t="inlineStr">
        <is>
          <t>Progress % is calculated automatically from Development Status.</t>
        </is>
      </c>
    </row>
    <row r="15">
      <c r="A15" s="6" t="inlineStr">
        <is>
          <t>Design status</t>
        </is>
      </c>
      <c r="B15" s="54" t="inlineStr">
        <is>
          <t>Screens 001-120 are completed mockups; 121-130 remain pending.</t>
        </is>
      </c>
    </row>
    <row r="16">
      <c r="A16" s="6" t="inlineStr">
        <is>
          <t>Dependencies</t>
        </is>
      </c>
      <c r="B16" s="54" t="inlineStr">
        <is>
          <t>Build in Development Plan phase order; do not start dependent modules before exit criteria pass.</t>
        </is>
      </c>
    </row>
    <row r="17">
      <c r="A17" s="6" t="inlineStr">
        <is>
          <t>Security</t>
        </is>
      </c>
      <c r="B17" s="54" t="inlineStr">
        <is>
          <t>All write operations require server-side permission checks and audit logging.</t>
        </is>
      </c>
    </row>
  </sheetData>
  <mergeCells count="6">
    <mergeCell ref="B16:F16"/>
    <mergeCell ref="B15:F15"/>
    <mergeCell ref="A1:F1"/>
    <mergeCell ref="B14:F14"/>
    <mergeCell ref="B17:F17"/>
    <mergeCell ref="B13:F13"/>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AD394"/>
  <sheetViews>
    <sheetView showGridLines="0" tabSelected="1" topLeftCell="V395" workbookViewId="0">
      <selection activeCell="Y400" sqref="Y400"/>
    </sheetView>
  </sheetViews>
  <sheetFormatPr baseColWidth="8" defaultRowHeight="14"/>
  <cols>
    <col width="10" customWidth="1" style="43" min="1" max="1"/>
    <col width="12" customWidth="1" style="43" min="2" max="2"/>
    <col width="14" customWidth="1" style="43" min="3" max="3"/>
    <col width="39" customWidth="1" style="43" min="4" max="4"/>
    <col width="11" customWidth="1" style="43" min="5" max="5"/>
    <col width="22" customWidth="1" style="43" min="6" max="6"/>
    <col width="23" customWidth="1" style="43" min="7" max="7"/>
    <col width="11" customWidth="1" style="43" min="8" max="8"/>
    <col width="30" customWidth="1" style="43" min="9" max="9"/>
    <col width="20" customWidth="1" style="43" min="10" max="10"/>
    <col width="23" customWidth="1" style="43" min="11" max="11"/>
    <col width="58" customWidth="1" style="43" min="12" max="12"/>
    <col width="42" customWidth="1" style="43" min="13" max="13"/>
    <col width="48" customWidth="1" style="43" min="14" max="14"/>
    <col width="70" customWidth="1" style="43" min="15" max="15"/>
    <col width="54" customWidth="1" style="43" min="16" max="16"/>
    <col width="52" customWidth="1" style="43" min="17" max="17"/>
    <col width="34" customWidth="1" style="43" min="18" max="18"/>
    <col width="60" customWidth="1" style="43" min="19" max="19"/>
    <col width="13" customWidth="1" style="43" min="20" max="20"/>
    <col width="14" customWidth="1" style="43" min="21" max="21"/>
    <col width="11" customWidth="1" style="43" min="22" max="22"/>
    <col width="12" customWidth="1" style="43" min="23" max="23"/>
    <col width="16" customWidth="1" style="43" min="24" max="24"/>
    <col width="11" customWidth="1" style="43" min="25" max="25"/>
    <col width="18" customWidth="1" style="43" min="26" max="26"/>
    <col width="14" customWidth="1" style="43" min="27" max="27"/>
    <col width="56" customWidth="1" style="43" min="28" max="28"/>
    <col width="60" customWidth="1" style="43" min="29" max="29"/>
    <col width="28" customWidth="1" style="43" min="30" max="30"/>
  </cols>
  <sheetData>
    <row r="1" ht="30" customHeight="1" s="43">
      <c r="A1" s="24" t="inlineStr">
        <is>
          <t>Chirala Bay Resort PMS — Priority-Based User Stories &amp; Acceptance Criteria</t>
        </is>
      </c>
      <c r="B1" s="24" t="n"/>
      <c r="C1" s="24" t="n"/>
      <c r="D1" s="24" t="n"/>
      <c r="E1" s="24" t="n"/>
      <c r="F1" s="24" t="n"/>
      <c r="G1" s="24" t="n"/>
      <c r="H1" s="24" t="n"/>
      <c r="I1" s="24" t="n"/>
      <c r="J1" s="24" t="n"/>
      <c r="K1" s="24" t="n"/>
      <c r="L1" s="24" t="n"/>
      <c r="M1" s="24" t="n"/>
      <c r="N1" s="24" t="n"/>
      <c r="O1" s="24" t="n"/>
      <c r="P1" s="24" t="n"/>
      <c r="Q1" s="24" t="n"/>
      <c r="R1" s="24" t="n"/>
      <c r="S1" s="24" t="n"/>
      <c r="T1" s="24" t="n"/>
      <c r="U1" s="24" t="n"/>
      <c r="V1" s="24" t="n"/>
      <c r="W1" s="24" t="n"/>
      <c r="X1" s="24" t="n"/>
      <c r="Y1" s="24" t="n"/>
      <c r="Z1" s="24" t="n"/>
      <c r="AA1" s="24" t="n"/>
      <c r="AB1" s="24" t="n"/>
      <c r="AC1" s="24" t="n"/>
      <c r="AD1" s="24" t="n"/>
    </row>
    <row r="2" ht="25" customHeight="1" s="43">
      <c r="A2" s="25" t="inlineStr">
        <is>
          <t>390 stories sorted Must Have → Should Have → Could Have, then by dependency-based development order. Update Story Status and Assignee; Progress updates automatically.</t>
        </is>
      </c>
      <c r="B2" s="25" t="n"/>
      <c r="C2" s="25" t="n"/>
      <c r="D2" s="25" t="n"/>
      <c r="E2" s="25" t="n"/>
      <c r="F2" s="25" t="n"/>
      <c r="G2" s="25" t="n"/>
      <c r="H2" s="25" t="n"/>
      <c r="I2" s="25" t="n"/>
      <c r="J2" s="25" t="n"/>
      <c r="K2" s="25" t="n"/>
      <c r="L2" s="25" t="n"/>
      <c r="M2" s="25" t="n"/>
      <c r="N2" s="25" t="n"/>
      <c r="O2" s="25" t="n"/>
      <c r="P2" s="25" t="n"/>
      <c r="Q2" s="25" t="n"/>
      <c r="R2" s="25" t="n"/>
      <c r="S2" s="25" t="n"/>
      <c r="T2" s="25" t="n"/>
      <c r="U2" s="25" t="n"/>
      <c r="V2" s="25" t="n"/>
      <c r="W2" s="25" t="n"/>
      <c r="X2" s="25" t="n"/>
      <c r="Y2" s="25" t="n"/>
      <c r="Z2" s="25" t="n"/>
      <c r="AA2" s="25" t="n"/>
      <c r="AB2" s="25" t="n"/>
      <c r="AC2" s="25" t="n"/>
      <c r="AD2" s="25" t="n"/>
    </row>
    <row r="4" ht="28" customHeight="1" s="43">
      <c r="A4" s="26" t="inlineStr">
        <is>
          <t>Priority Rank</t>
        </is>
      </c>
      <c r="B4" s="27" t="inlineStr">
        <is>
          <t>Development Sequence</t>
        </is>
      </c>
      <c r="C4" s="27" t="inlineStr">
        <is>
          <t>User Story ID</t>
        </is>
      </c>
      <c r="D4" s="27" t="inlineStr">
        <is>
          <t>Story Title</t>
        </is>
      </c>
      <c r="E4" s="27" t="inlineStr">
        <is>
          <t>Epic ID</t>
        </is>
      </c>
      <c r="F4" s="27" t="inlineStr">
        <is>
          <t>Module</t>
        </is>
      </c>
      <c r="G4" s="27" t="inlineStr">
        <is>
          <t>Submodule</t>
        </is>
      </c>
      <c r="H4" s="27" t="inlineStr">
        <is>
          <t>Screen ID</t>
        </is>
      </c>
      <c r="I4" s="27" t="inlineStr">
        <is>
          <t>Screen Name</t>
        </is>
      </c>
      <c r="J4" s="27" t="inlineStr">
        <is>
          <t>Story Type</t>
        </is>
      </c>
      <c r="K4" s="27" t="inlineStr">
        <is>
          <t>Persona</t>
        </is>
      </c>
      <c r="L4" s="27" t="inlineStr">
        <is>
          <t>User Story</t>
        </is>
      </c>
      <c r="M4" s="27" t="inlineStr">
        <is>
          <t>Business Value</t>
        </is>
      </c>
      <c r="N4" s="27" t="inlineStr">
        <is>
          <t>Preconditions</t>
        </is>
      </c>
      <c r="O4" s="27" t="inlineStr">
        <is>
          <t>Acceptance Criteria (Given / When / Then)</t>
        </is>
      </c>
      <c r="P4" s="27" t="inlineStr">
        <is>
          <t>Negative / Exception Criteria</t>
        </is>
      </c>
      <c r="Q4" s="27" t="inlineStr">
        <is>
          <t>Business Rules</t>
        </is>
      </c>
      <c r="R4" s="27" t="inlineStr">
        <is>
          <t>Dependencies</t>
        </is>
      </c>
      <c r="S4" s="27" t="inlineStr">
        <is>
          <t>API &amp; Data Impact</t>
        </is>
      </c>
      <c r="T4" s="27" t="inlineStr">
        <is>
          <t>Priority</t>
        </is>
      </c>
      <c r="U4" s="27" t="inlineStr">
        <is>
          <t>Target Release</t>
        </is>
      </c>
      <c r="V4" s="27" t="inlineStr">
        <is>
          <t>Story Points</t>
        </is>
      </c>
      <c r="W4" s="27" t="inlineStr">
        <is>
          <t>Sprint</t>
        </is>
      </c>
      <c r="X4" s="27" t="inlineStr">
        <is>
          <t>Story Status</t>
        </is>
      </c>
      <c r="Y4" s="27" t="inlineStr">
        <is>
          <t>Progress %</t>
        </is>
      </c>
      <c r="Z4" s="27" t="inlineStr">
        <is>
          <t>Assignee</t>
        </is>
      </c>
      <c r="AA4" s="27" t="inlineStr">
        <is>
          <t>QA Test ID</t>
        </is>
      </c>
      <c r="AB4" s="27" t="inlineStr">
        <is>
          <t>Definition of Ready</t>
        </is>
      </c>
      <c r="AC4" s="27" t="inlineStr">
        <is>
          <t>Definition of Done</t>
        </is>
      </c>
      <c r="AD4" s="28" t="inlineStr">
        <is>
          <t>Notes</t>
        </is>
      </c>
    </row>
    <row r="5" ht="78" customHeight="1" s="43">
      <c r="A5" s="31" t="n">
        <v>1</v>
      </c>
      <c r="B5" s="31" t="n">
        <v>1</v>
      </c>
      <c r="C5" s="29" t="inlineStr">
        <is>
          <t>US-026-01</t>
        </is>
      </c>
      <c r="D5" s="29" t="inlineStr">
        <is>
          <t>View and find information in Property Settings</t>
        </is>
      </c>
      <c r="E5" s="29" t="inlineStr">
        <is>
          <t>EPIC-19</t>
        </is>
      </c>
      <c r="F5" s="29" t="inlineStr">
        <is>
          <t>Administration</t>
        </is>
      </c>
      <c r="G5" s="29" t="inlineStr">
        <is>
          <t>Property Configuration</t>
        </is>
      </c>
      <c r="H5" s="31" t="inlineStr">
        <is>
          <t>SCR-026</t>
        </is>
      </c>
      <c r="I5" s="29" t="inlineStr">
        <is>
          <t>Property Settings</t>
        </is>
      </c>
      <c r="J5" s="29" t="inlineStr">
        <is>
          <t>View / Search</t>
        </is>
      </c>
      <c r="K5" s="29" t="inlineStr">
        <is>
          <t>System Admin</t>
        </is>
      </c>
      <c r="L5" s="29" t="inlineStr">
        <is>
          <t>As a System Admin, I want to open Property Settings and find relevant records using search, filters and sorting, so that I can make accurate operational decisions.</t>
        </is>
      </c>
      <c r="M5" s="29" t="inlineStr">
        <is>
          <t>Provides timely visibility for property configuration and reduces manual lookup effort.</t>
        </is>
      </c>
      <c r="N5" s="29" t="inlineStr">
        <is>
          <t>Authenticated user; active property; view permission for Administration; Platform data available.</t>
        </is>
      </c>
      <c r="O5" s="29" t="inlineStr">
        <is>
          <t>Given I am authenticated as System Admin with access to the selected property, when I open Property Settings,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5" s="29" t="inlineStr">
        <is>
          <t>Cross-property data never appears; unauthorized fields are masked; invalid filters do not break the screen; unavailable services return a controlled message.</t>
        </is>
      </c>
      <c r="Q5" s="29" t="inlineStr">
        <is>
          <t>Tenant/property scope; required fields; optimistic locking; timezone-safe dates; reason mandatory for overrides; least privilege; secret masking; versioning; change approval</t>
        </is>
      </c>
      <c r="R5" s="29" t="inlineStr">
        <is>
          <t>Platform</t>
        </is>
      </c>
      <c r="S5" s="29" t="inlineStr">
        <is>
          <t>GET, POST, PUT/PATCH, DELETE /api/v1/property-settings; lookup, validation and audit endpoints; idempotency for financial/booking writes; entities: users, roles, permissions, approvals, audit_logs, templates, import_jobs</t>
        </is>
      </c>
      <c r="T5" s="29" t="inlineStr">
        <is>
          <t>Must Have</t>
        </is>
      </c>
      <c r="U5" s="29" t="inlineStr">
        <is>
          <t>MVP</t>
        </is>
      </c>
      <c r="V5" s="33" t="n">
        <v>3</v>
      </c>
      <c r="W5" s="29" t="inlineStr">
        <is>
          <t>S01-S02</t>
        </is>
      </c>
      <c r="X5" s="29" t="inlineStr">
        <is>
          <t>Done</t>
        </is>
      </c>
      <c r="Y5" s="36" t="n">
        <v>1</v>
      </c>
      <c r="Z5" s="29" t="n"/>
      <c r="AA5" s="29" t="inlineStr">
        <is>
          <t>TC-026-A</t>
        </is>
      </c>
      <c r="AB5" s="29" t="inlineStr">
        <is>
          <t>Approved screen design; story reviewed with System Admin; dependencies, API contract, role permissions and test data identified.</t>
        </is>
      </c>
      <c r="AC5" s="29" t="inlineStr">
        <is>
          <t>Code reviewed; unit, API, UI, RBAC and integration tests pass; accessibility and responsive states verified; audit evidence captured; product owner accepts in staging.</t>
        </is>
      </c>
      <c r="AD5" s="29" t="inlineStr">
        <is>
          <t>Property Settings view: GET /iam/properties/{id}/settings, RBAC-guarded (property.view), cross-tenant denied. Live in Settings screen. Verified.</t>
        </is>
      </c>
    </row>
    <row r="6" ht="78" customHeight="1" s="43">
      <c r="A6" s="11" t="n">
        <v>1</v>
      </c>
      <c r="B6" s="11" t="n">
        <v>2</v>
      </c>
      <c r="C6" s="12" t="inlineStr">
        <is>
          <t>US-026-02</t>
        </is>
      </c>
      <c r="D6" s="12" t="inlineStr">
        <is>
          <t>Complete the primary Property Settings workflow</t>
        </is>
      </c>
      <c r="E6" s="12" t="inlineStr">
        <is>
          <t>EPIC-19</t>
        </is>
      </c>
      <c r="F6" s="12" t="inlineStr">
        <is>
          <t>Administration</t>
        </is>
      </c>
      <c r="G6" s="12" t="inlineStr">
        <is>
          <t>Property Configuration</t>
        </is>
      </c>
      <c r="H6" s="11" t="inlineStr">
        <is>
          <t>SCR-026</t>
        </is>
      </c>
      <c r="I6" s="12" t="inlineStr">
        <is>
          <t>Property Settings</t>
        </is>
      </c>
      <c r="J6" s="12" t="inlineStr">
        <is>
          <t>Primary Workflow</t>
        </is>
      </c>
      <c r="K6" s="12" t="inlineStr">
        <is>
          <t>System Admin</t>
        </is>
      </c>
      <c r="L6" s="12" t="inlineStr">
        <is>
          <t>As a System Admin, I want to list, search, filter, view, create, edit, cancel/delete under policy, export in Property Settings, so that the property configuration process is completed accurately without duplicate or inconsistent records.</t>
        </is>
      </c>
      <c r="M6" s="12" t="inlineStr">
        <is>
          <t>Enable administration users to manage property configuration through the Property Settings workflow with real-time status, validations and traceability.</t>
        </is>
      </c>
      <c r="N6" s="12" t="inlineStr">
        <is>
          <t>View access confirmed; required masters and linked records exist; Platform services are available; approval limit is valid.</t>
        </is>
      </c>
      <c r="O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property settings workflow; invalid or conflicting actions are blocked with clear messages; saved changes appear in related screens; sensitive changes are auditable.</t>
        </is>
      </c>
      <c r="P6" s="12" t="inlineStr">
        <is>
          <t>Duplicate submission is idempotent; stale data returns a refresh/conflict message; invalid status transitions are blocked; partial failure rolls back without orphan records.</t>
        </is>
      </c>
      <c r="Q6" s="12" t="inlineStr">
        <is>
          <t>Tenant/property scope; required fields; optimistic locking; timezone-safe dates; reason mandatory for overrides; least privilege; secret masking; versioning; change approval</t>
        </is>
      </c>
      <c r="R6" s="12" t="inlineStr">
        <is>
          <t>Platform</t>
        </is>
      </c>
      <c r="S6" s="12" t="inlineStr">
        <is>
          <t>GET, POST, PUT/PATCH, DELETE /api/v1/property-settings; lookup, validation and audit endpoints; idempotency for financial/booking writes; entities: users, roles, permissions, approvals, audit_logs, templates, import_jobs</t>
        </is>
      </c>
      <c r="T6" s="12" t="inlineStr">
        <is>
          <t>Must Have</t>
        </is>
      </c>
      <c r="U6" s="12" t="inlineStr">
        <is>
          <t>MVP</t>
        </is>
      </c>
      <c r="V6" s="34" t="n">
        <v>5</v>
      </c>
      <c r="W6" s="12" t="inlineStr">
        <is>
          <t>S01-S02</t>
        </is>
      </c>
      <c r="X6" s="12" t="inlineStr">
        <is>
          <t>Done</t>
        </is>
      </c>
      <c r="Y6" s="13" t="n">
        <v>1</v>
      </c>
      <c r="Z6" s="12" t="n"/>
      <c r="AA6" s="12" t="inlineStr">
        <is>
          <t>TC-026-B</t>
        </is>
      </c>
      <c r="AB6" s="12" t="inlineStr">
        <is>
          <t>Approved screen design; story reviewed with System Admin; dependencies, API contract, role permissions and test data identified.</t>
        </is>
      </c>
      <c r="AC6" s="12" t="inlineStr">
        <is>
          <t>Code reviewed; unit, API, UI, RBAC and integration tests pass; accessibility and responsive states verified; audit evidence captured; product owner accepts in staging.</t>
        </is>
      </c>
      <c r="AD6" s="12" t="inlineStr">
        <is>
          <t>Property Settings primary workflow: PUT with optimistic locking (stale version -&gt; 409), validation, persists; edit form live. Verified end-to-end.</t>
        </is>
      </c>
    </row>
    <row r="7" ht="78" customHeight="1" s="43">
      <c r="A7" s="11" t="n">
        <v>1</v>
      </c>
      <c r="B7" s="11" t="n">
        <v>3</v>
      </c>
      <c r="C7" s="12" t="inlineStr">
        <is>
          <t>US-026-03</t>
        </is>
      </c>
      <c r="D7" s="12" t="inlineStr">
        <is>
          <t>Control permissions, overrides and audit for Property Settings</t>
        </is>
      </c>
      <c r="E7" s="12" t="inlineStr">
        <is>
          <t>EPIC-19</t>
        </is>
      </c>
      <c r="F7" s="12" t="inlineStr">
        <is>
          <t>Administration</t>
        </is>
      </c>
      <c r="G7" s="12" t="inlineStr">
        <is>
          <t>Property Configuration</t>
        </is>
      </c>
      <c r="H7" s="11" t="inlineStr">
        <is>
          <t>SCR-026</t>
        </is>
      </c>
      <c r="I7" s="12" t="inlineStr">
        <is>
          <t>Property Settings</t>
        </is>
      </c>
      <c r="J7" s="12" t="inlineStr">
        <is>
          <t>Security / Exceptions</t>
        </is>
      </c>
      <c r="K7" s="12" t="inlineStr">
        <is>
          <t>System Admin</t>
        </is>
      </c>
      <c r="L7" s="12" t="inlineStr">
        <is>
          <t>As a department supervisor or auditor, I want sensitive actions in Property Settings to follow permissions, approval limits and audit rules, so that resort operations remain secure, compliant and traceable.</t>
        </is>
      </c>
      <c r="M7" s="12" t="inlineStr">
        <is>
          <t>Reduces fraud, privacy leakage, unauthorized overrides and unresolved operational disputes.</t>
        </is>
      </c>
      <c r="N7" s="12" t="inlineStr">
        <is>
          <t>Roles, permissions, approval hierarchy and audit service are configured; allowed and denied test users exist.</t>
        </is>
      </c>
      <c r="O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7" s="12" t="inlineStr">
        <is>
          <t>Tampered IDs, expired sessions, approval-limit violations and cross-tenant requests are rejected; secrets and sensitive guest/payment fields are never written to logs.</t>
        </is>
      </c>
      <c r="Q7" s="12" t="inlineStr">
        <is>
          <t>Tenant/property scope; required fields; optimistic locking; timezone-safe dates; reason mandatory for overrides; least privilege; secret masking; versioning; change approval</t>
        </is>
      </c>
      <c r="R7" s="12" t="inlineStr">
        <is>
          <t>Platform</t>
        </is>
      </c>
      <c r="S7" s="12" t="inlineStr">
        <is>
          <t>GET, POST, PUT/PATCH, DELETE /api/v1/property-settings; lookup, validation and audit endpoints; idempotency for financial/booking writes; entities: users, roles, permissions, approvals, audit_logs, templates, import_jobs</t>
        </is>
      </c>
      <c r="T7" s="12" t="inlineStr">
        <is>
          <t>Must Have</t>
        </is>
      </c>
      <c r="U7" s="12" t="inlineStr">
        <is>
          <t>MVP</t>
        </is>
      </c>
      <c r="V7" s="34" t="n">
        <v>3</v>
      </c>
      <c r="W7" s="12" t="inlineStr">
        <is>
          <t>S01-S02</t>
        </is>
      </c>
      <c r="X7" s="12" t="inlineStr">
        <is>
          <t>Done</t>
        </is>
      </c>
      <c r="Y7" s="13" t="n">
        <v>1</v>
      </c>
      <c r="Z7" s="12" t="n"/>
      <c r="AA7" s="12" t="inlineStr">
        <is>
          <t>TC-026-C</t>
        </is>
      </c>
      <c r="AB7" s="12" t="inlineStr">
        <is>
          <t>Approved screen design; story reviewed with System Admin; dependencies, API contract, role permissions and test data identified.</t>
        </is>
      </c>
      <c r="AC7" s="12" t="inlineStr">
        <is>
          <t>Code reviewed; unit, API, UI, RBAC and integration tests pass; accessibility and responsive states verified; audit evidence captured; product owner accepts in staging.</t>
        </is>
      </c>
      <c r="AD7" s="12" t="inlineStr">
        <is>
          <t>Security/exceptions: deny-by-default permission check (unauthorized -&gt; 403), append-only audit_events with actor/before/after/reason/correlation. Verified: 403 for no-permission user, audit row on update.</t>
        </is>
      </c>
    </row>
    <row r="8" ht="78" customHeight="1" s="43">
      <c r="A8" s="11" t="n">
        <v>1</v>
      </c>
      <c r="B8" s="11" t="n">
        <v>4</v>
      </c>
      <c r="C8" s="12" t="inlineStr">
        <is>
          <t>US-039-01</t>
        </is>
      </c>
      <c r="D8" s="12" t="inlineStr">
        <is>
          <t>View and find information in User Management</t>
        </is>
      </c>
      <c r="E8" s="12" t="inlineStr">
        <is>
          <t>EPIC-19</t>
        </is>
      </c>
      <c r="F8" s="12" t="inlineStr">
        <is>
          <t>Administration</t>
        </is>
      </c>
      <c r="G8" s="12" t="inlineStr">
        <is>
          <t>Identity &amp; Access</t>
        </is>
      </c>
      <c r="H8" s="11" t="inlineStr">
        <is>
          <t>SCR-039</t>
        </is>
      </c>
      <c r="I8" s="12" t="inlineStr">
        <is>
          <t>User Management</t>
        </is>
      </c>
      <c r="J8" s="12" t="inlineStr">
        <is>
          <t>View / Search</t>
        </is>
      </c>
      <c r="K8" s="12" t="inlineStr">
        <is>
          <t>System Admin</t>
        </is>
      </c>
      <c r="L8" s="12" t="inlineStr">
        <is>
          <t>As a System Admin, I want to open User Management and find relevant records using search, filters and sorting, so that I can make accurate operational decisions.</t>
        </is>
      </c>
      <c r="M8" s="12" t="inlineStr">
        <is>
          <t>Provides timely visibility for identity &amp; access and reduces manual lookup effort.</t>
        </is>
      </c>
      <c r="N8" s="12" t="inlineStr">
        <is>
          <t>Authenticated user; active property; view permission for Administration; Platform data available.</t>
        </is>
      </c>
      <c r="O8" s="12" t="inlineStr">
        <is>
          <t>Given I am authenticated as System Admin with access to the selected property, when I open User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8" s="12" t="inlineStr">
        <is>
          <t>Cross-property data never appears; unauthorized fields are masked; invalid filters do not break the screen; unavailable services return a controlled message.</t>
        </is>
      </c>
      <c r="Q8" s="12" t="inlineStr">
        <is>
          <t>Tenant/property scope; required fields; optimistic locking; timezone-safe dates; reason mandatory for overrides; least privilege; secret masking; versioning; change approval</t>
        </is>
      </c>
      <c r="R8" s="12" t="inlineStr">
        <is>
          <t>Platform</t>
        </is>
      </c>
      <c r="S8" s="12" t="inlineStr">
        <is>
          <t>GET, POST, PUT/PATCH, DELETE /api/v1/user-management; lookup, validation and audit endpoints; idempotency for financial/booking writes; entities: users, roles, permissions, approvals, audit_logs, templates, import_jobs</t>
        </is>
      </c>
      <c r="T8" s="12" t="inlineStr">
        <is>
          <t>Must Have</t>
        </is>
      </c>
      <c r="U8" s="12" t="inlineStr">
        <is>
          <t>MVP</t>
        </is>
      </c>
      <c r="V8" s="34" t="n">
        <v>3</v>
      </c>
      <c r="W8" s="12" t="inlineStr">
        <is>
          <t>S01-S02</t>
        </is>
      </c>
      <c r="X8" s="12" t="inlineStr">
        <is>
          <t>Done</t>
        </is>
      </c>
      <c r="Y8" s="13" t="n">
        <v>1</v>
      </c>
      <c r="Z8" s="12" t="n"/>
      <c r="AA8" s="12" t="inlineStr">
        <is>
          <t>TC-039-A</t>
        </is>
      </c>
      <c r="AB8" s="12" t="inlineStr">
        <is>
          <t>Approved screen design; story reviewed with System Admin; dependencies, API contract, role permissions and test data identified.</t>
        </is>
      </c>
      <c r="AC8" s="12" t="inlineStr">
        <is>
          <t>Code reviewed; unit, API, UI, RBAC and integration tests pass; accessibility and responsive states verified; audit evidence captured; product owner accepts in staging.</t>
        </is>
      </c>
      <c r="AD8" s="12" t="inlineStr">
        <is>
          <t>User Management view/search matches mockup 039, fully live: rich columns (Employee ID, Department, Properties, Roles chips, Status, Last Login, MFA, Active Sessions) from real IAM joins; server-side filters Role/Property/Department/Status + search; KPI cards from /users/stats. Verified all filters return correct rows.</t>
        </is>
      </c>
    </row>
    <row r="9" ht="78" customHeight="1" s="43">
      <c r="A9" s="11" t="n">
        <v>1</v>
      </c>
      <c r="B9" s="11" t="n">
        <v>5</v>
      </c>
      <c r="C9" s="12" t="inlineStr">
        <is>
          <t>US-039-02</t>
        </is>
      </c>
      <c r="D9" s="12" t="inlineStr">
        <is>
          <t>Complete the primary User Management workflow</t>
        </is>
      </c>
      <c r="E9" s="12" t="inlineStr">
        <is>
          <t>EPIC-19</t>
        </is>
      </c>
      <c r="F9" s="12" t="inlineStr">
        <is>
          <t>Administration</t>
        </is>
      </c>
      <c r="G9" s="12" t="inlineStr">
        <is>
          <t>Identity &amp; Access</t>
        </is>
      </c>
      <c r="H9" s="11" t="inlineStr">
        <is>
          <t>SCR-039</t>
        </is>
      </c>
      <c r="I9" s="12" t="inlineStr">
        <is>
          <t>User Management</t>
        </is>
      </c>
      <c r="J9" s="12" t="inlineStr">
        <is>
          <t>Primary Workflow</t>
        </is>
      </c>
      <c r="K9" s="12" t="inlineStr">
        <is>
          <t>System Admin</t>
        </is>
      </c>
      <c r="L9" s="12" t="inlineStr">
        <is>
          <t>As a System Admin, I want to list, view, create, edit, activate/deactivate, delete where safe in User Management, so that the identity &amp; access process is completed accurately without duplicate or inconsistent records.</t>
        </is>
      </c>
      <c r="M9" s="12" t="inlineStr">
        <is>
          <t>Enable administration users to manage identity &amp; access through the User Management workflow with real-time status, validations and traceability.</t>
        </is>
      </c>
      <c r="N9" s="12" t="inlineStr">
        <is>
          <t>View access confirmed; required masters and linked records exist; Platform services are available; approval limit is valid.</t>
        </is>
      </c>
      <c r="O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user management workflow; invalid or conflicting actions are blocked with clear messages; saved changes appear in related screens; sensitive changes are auditable.</t>
        </is>
      </c>
      <c r="P9" s="12" t="inlineStr">
        <is>
          <t>Duplicate submission is idempotent; stale data returns a refresh/conflict message; invalid status transitions are blocked; partial failure rolls back without orphan records.</t>
        </is>
      </c>
      <c r="Q9" s="12" t="inlineStr">
        <is>
          <t>Tenant/property scope; required fields; optimistic locking; timezone-safe dates; reason mandatory for overrides; least privilege; secret masking; versioning; change approval</t>
        </is>
      </c>
      <c r="R9" s="12" t="inlineStr">
        <is>
          <t>Platform</t>
        </is>
      </c>
      <c r="S9" s="12" t="inlineStr">
        <is>
          <t>GET, POST, PUT/PATCH, DELETE /api/v1/user-management; lookup, validation and audit endpoints; idempotency for financial/booking writes; entities: users, roles, permissions, approvals, audit_logs, templates, import_jobs</t>
        </is>
      </c>
      <c r="T9" s="12" t="inlineStr">
        <is>
          <t>Must Have</t>
        </is>
      </c>
      <c r="U9" s="12" t="inlineStr">
        <is>
          <t>MVP</t>
        </is>
      </c>
      <c r="V9" s="34" t="n">
        <v>5</v>
      </c>
      <c r="W9" s="12" t="inlineStr">
        <is>
          <t>S01-S02</t>
        </is>
      </c>
      <c r="X9" s="12" t="inlineStr">
        <is>
          <t>Done</t>
        </is>
      </c>
      <c r="Y9" s="13" t="n">
        <v>1</v>
      </c>
      <c r="Z9" s="12" t="n"/>
      <c r="AA9" s="12" t="inlineStr">
        <is>
          <t>TC-039-B</t>
        </is>
      </c>
      <c r="AB9" s="12" t="inlineStr">
        <is>
          <t>Approved screen design; story reviewed with System Admin; dependencies, API contract, role permissions and test data identified.</t>
        </is>
      </c>
      <c r="AC9" s="12" t="inlineStr">
        <is>
          <t>Code reviewed; unit, API, UI, RBAC and integration tests pass; accessibility and responsive states verified; audit evidence captured; product owner accepts in staging.</t>
        </is>
      </c>
      <c r="AD9" s="12" t="inlineStr">
        <is>
          <t>Primary workflow fully live: invite/create (+membership+employee), edit, activate/suspend, revoke-sessions; RBAC + audit; UI actions menu wired to real endpoints. Verified: revoke dropped active_sessions 12-&gt;10, edit/suspend reflect.</t>
        </is>
      </c>
    </row>
    <row r="10" ht="78" customHeight="1" s="43">
      <c r="A10" s="11" t="n">
        <v>1</v>
      </c>
      <c r="B10" s="11" t="n">
        <v>6</v>
      </c>
      <c r="C10" s="12" t="inlineStr">
        <is>
          <t>US-039-03</t>
        </is>
      </c>
      <c r="D10" s="12" t="inlineStr">
        <is>
          <t>Control permissions, overrides and audit for User Management</t>
        </is>
      </c>
      <c r="E10" s="12" t="inlineStr">
        <is>
          <t>EPIC-19</t>
        </is>
      </c>
      <c r="F10" s="12" t="inlineStr">
        <is>
          <t>Administration</t>
        </is>
      </c>
      <c r="G10" s="12" t="inlineStr">
        <is>
          <t>Identity &amp; Access</t>
        </is>
      </c>
      <c r="H10" s="11" t="inlineStr">
        <is>
          <t>SCR-039</t>
        </is>
      </c>
      <c r="I10" s="12" t="inlineStr">
        <is>
          <t>User Management</t>
        </is>
      </c>
      <c r="J10" s="12" t="inlineStr">
        <is>
          <t>Security / Exceptions</t>
        </is>
      </c>
      <c r="K10" s="12" t="inlineStr">
        <is>
          <t>System Admin</t>
        </is>
      </c>
      <c r="L10" s="12" t="inlineStr">
        <is>
          <t>As a department supervisor or auditor, I want sensitive actions in User Management to follow permissions, approval limits and audit rules, so that resort operations remain secure, compliant and traceable.</t>
        </is>
      </c>
      <c r="M10" s="12" t="inlineStr">
        <is>
          <t>Reduces fraud, privacy leakage, unauthorized overrides and unresolved operational disputes.</t>
        </is>
      </c>
      <c r="N10" s="12" t="inlineStr">
        <is>
          <t>Roles, permissions, approval hierarchy and audit service are configured; allowed and denied test users exist.</t>
        </is>
      </c>
      <c r="O1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0" s="12" t="inlineStr">
        <is>
          <t>Tampered IDs, expired sessions, approval-limit violations and cross-tenant requests are rejected; secrets and sensitive guest/payment fields are never written to logs.</t>
        </is>
      </c>
      <c r="Q10" s="12" t="inlineStr">
        <is>
          <t>Tenant/property scope; required fields; optimistic locking; timezone-safe dates; reason mandatory for overrides; least privilege; secret masking; versioning; change approval</t>
        </is>
      </c>
      <c r="R10" s="12" t="inlineStr">
        <is>
          <t>Platform</t>
        </is>
      </c>
      <c r="S10" s="12" t="inlineStr">
        <is>
          <t>GET, POST, PUT/PATCH, DELETE /api/v1/user-management; lookup, validation and audit endpoints; idempotency for financial/booking writes; entities: users, roles, permissions, approvals, audit_logs, templates, import_jobs</t>
        </is>
      </c>
      <c r="T10" s="12" t="inlineStr">
        <is>
          <t>Must Have</t>
        </is>
      </c>
      <c r="U10" s="12" t="inlineStr">
        <is>
          <t>MVP</t>
        </is>
      </c>
      <c r="V10" s="34" t="n">
        <v>3</v>
      </c>
      <c r="W10" s="12" t="inlineStr">
        <is>
          <t>S01-S02</t>
        </is>
      </c>
      <c r="X10" s="12" t="inlineStr">
        <is>
          <t>Done</t>
        </is>
      </c>
      <c r="Y10" s="13" t="n">
        <v>1</v>
      </c>
      <c r="Z10" s="12" t="n"/>
      <c r="AA10" s="12" t="inlineStr">
        <is>
          <t>TC-039-C</t>
        </is>
      </c>
      <c r="AB10" s="12" t="inlineStr">
        <is>
          <t>Approved screen design; story reviewed with System Admin; dependencies, API contract, role permissions and test data identified.</t>
        </is>
      </c>
      <c r="AC10" s="12" t="inlineStr">
        <is>
          <t>Code reviewed; unit, API, UI, RBAC and integration tests pass; accessibility and responsive states verified; audit evidence captured; product owner accepts in staging.</t>
        </is>
      </c>
      <c r="AD10" s="12" t="inlineStr">
        <is>
          <t>Security/exceptions: deny-by-default (403), cannot self-deactivate, append-only audit for all actions incl revoke_sessions; View Activity shows real audit trail. Verified 403 + audit entries.</t>
        </is>
      </c>
    </row>
    <row r="11" ht="78" customHeight="1" s="43">
      <c r="A11" s="11" t="n">
        <v>1</v>
      </c>
      <c r="B11" s="11" t="n">
        <v>7</v>
      </c>
      <c r="C11" s="12" t="inlineStr">
        <is>
          <t>US-040-01</t>
        </is>
      </c>
      <c r="D11" s="12" t="inlineStr">
        <is>
          <t>View and find information in Invite or Edit User Access</t>
        </is>
      </c>
      <c r="E11" s="12" t="inlineStr">
        <is>
          <t>EPIC-19</t>
        </is>
      </c>
      <c r="F11" s="12" t="inlineStr">
        <is>
          <t>Administration</t>
        </is>
      </c>
      <c r="G11" s="12" t="inlineStr">
        <is>
          <t>Identity &amp; Access</t>
        </is>
      </c>
      <c r="H11" s="11" t="inlineStr">
        <is>
          <t>SCR-040</t>
        </is>
      </c>
      <c r="I11" s="12" t="inlineStr">
        <is>
          <t>Invite or Edit User Access</t>
        </is>
      </c>
      <c r="J11" s="12" t="inlineStr">
        <is>
          <t>View / Search</t>
        </is>
      </c>
      <c r="K11" s="12" t="inlineStr">
        <is>
          <t>System Admin</t>
        </is>
      </c>
      <c r="L11" s="12" t="inlineStr">
        <is>
          <t>As a System Admin, I want to open Invite or Edit User Access and find relevant records using search, filters and sorting, so that I can make accurate operational decisions.</t>
        </is>
      </c>
      <c r="M11" s="12" t="inlineStr">
        <is>
          <t>Provides timely visibility for identity &amp; access and reduces manual lookup effort.</t>
        </is>
      </c>
      <c r="N11" s="12" t="inlineStr">
        <is>
          <t>Authenticated user; active property; view permission for Administration; Platform data available.</t>
        </is>
      </c>
      <c r="O11" s="12" t="inlineStr">
        <is>
          <t>Given I am authenticated as System Admin with access to the selected property, when I open Invite or Edit User Access,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1" s="12" t="inlineStr">
        <is>
          <t>Cross-property data never appears; unauthorized fields are masked; invalid filters do not break the screen; unavailable services return a controlled message.</t>
        </is>
      </c>
      <c r="Q11" s="12" t="inlineStr">
        <is>
          <t>Tenant/property scope; required fields; optimistic locking; timezone-safe dates; reason mandatory for overrides; least privilege; secret masking; versioning; change approval</t>
        </is>
      </c>
      <c r="R11" s="12" t="inlineStr">
        <is>
          <t>Platform</t>
        </is>
      </c>
      <c r="S11" s="12" t="inlineStr">
        <is>
          <t>GET, POST, PUT/PATCH, DELETE /api/v1/invite-or-edit-user-access; lookup, validation and audit endpoints; idempotency for financial/booking writes; entities: users, roles, permissions, approvals, audit_logs, templates, import_jobs</t>
        </is>
      </c>
      <c r="T11" s="12" t="inlineStr">
        <is>
          <t>Must Have</t>
        </is>
      </c>
      <c r="U11" s="12" t="inlineStr">
        <is>
          <t>MVP</t>
        </is>
      </c>
      <c r="V11" s="34" t="n">
        <v>3</v>
      </c>
      <c r="W11" s="12" t="inlineStr">
        <is>
          <t>S01-S02</t>
        </is>
      </c>
      <c r="X11" s="12" t="inlineStr">
        <is>
          <t>Done</t>
        </is>
      </c>
      <c r="Y11" s="13" t="n">
        <v>1</v>
      </c>
      <c r="Z11" s="12" t="n"/>
      <c r="AA11" s="12" t="inlineStr">
        <is>
          <t>TC-040-A</t>
        </is>
      </c>
      <c r="AB11" s="12" t="inlineStr">
        <is>
          <t>Approved screen design; story reviewed with System Admin; dependencies, API contract, role permissions and test data identified.</t>
        </is>
      </c>
      <c r="AC11" s="12" t="inlineStr">
        <is>
          <t>Code reviewed; unit, API, UI, RBAC and integration tests pass; accessibility and responsive states verified; audit evidence captured; product owner accepts in staging.</t>
        </is>
      </c>
      <c r="AD11" s="12" t="inlineStr">
        <is>
          <t>Invite/Edit User Access screen (mockup 040) view: loads live roles+departments+property; Edit mode loads current access (GET /users/{id}/access: roles, department, settings). RBAC user.view. Verified.</t>
        </is>
      </c>
    </row>
    <row r="12" ht="78" customHeight="1" s="43">
      <c r="A12" s="11" t="n">
        <v>1</v>
      </c>
      <c r="B12" s="11" t="n">
        <v>8</v>
      </c>
      <c r="C12" s="12" t="inlineStr">
        <is>
          <t>US-040-02</t>
        </is>
      </c>
      <c r="D12" s="12" t="inlineStr">
        <is>
          <t>Complete the primary Invite or Edit User Access workflow</t>
        </is>
      </c>
      <c r="E12" s="12" t="inlineStr">
        <is>
          <t>EPIC-19</t>
        </is>
      </c>
      <c r="F12" s="12" t="inlineStr">
        <is>
          <t>Administration</t>
        </is>
      </c>
      <c r="G12" s="12" t="inlineStr">
        <is>
          <t>Identity &amp; Access</t>
        </is>
      </c>
      <c r="H12" s="11" t="inlineStr">
        <is>
          <t>SCR-040</t>
        </is>
      </c>
      <c r="I12" s="12" t="inlineStr">
        <is>
          <t>Invite or Edit User Access</t>
        </is>
      </c>
      <c r="J12" s="12" t="inlineStr">
        <is>
          <t>Primary Workflow</t>
        </is>
      </c>
      <c r="K12" s="12" t="inlineStr">
        <is>
          <t>System Admin</t>
        </is>
      </c>
      <c r="L12" s="12" t="inlineStr">
        <is>
          <t>As a System Admin, I want to list, search, filter, view, create, edit, cancel/delete under policy, export in Invite or Edit User Access, so that the identity &amp; access process is completed accurately without duplicate or inconsistent records.</t>
        </is>
      </c>
      <c r="M12" s="12" t="inlineStr">
        <is>
          <t>Enable administration users to manage identity &amp; access through the Invite or Edit User Access workflow with real-time status, validations and traceability.</t>
        </is>
      </c>
      <c r="N12" s="12" t="inlineStr">
        <is>
          <t>View access confirmed; required masters and linked records exist; Platform services are available; approval limit is valid.</t>
        </is>
      </c>
      <c r="O1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invite or edit user access workflow; invalid or conflicting actions are blocked with clear messages; saved changes appear in related screens; sensitive changes are auditable.</t>
        </is>
      </c>
      <c r="P12" s="12" t="inlineStr">
        <is>
          <t>Duplicate submission is idempotent; stale data returns a refresh/conflict message; invalid status transitions are blocked; partial failure rolls back without orphan records.</t>
        </is>
      </c>
      <c r="Q12" s="12" t="inlineStr">
        <is>
          <t>Tenant/property scope; required fields; optimistic locking; timezone-safe dates; reason mandatory for overrides; least privilege; secret masking; versioning; change approval</t>
        </is>
      </c>
      <c r="R12" s="12" t="inlineStr">
        <is>
          <t>Platform</t>
        </is>
      </c>
      <c r="S12" s="12" t="inlineStr">
        <is>
          <t>GET, POST, PUT/PATCH, DELETE /api/v1/invite-or-edit-user-access; lookup, validation and audit endpoints; idempotency for financial/booking writes; entities: users, roles, permissions, approvals, audit_logs, templates, import_jobs</t>
        </is>
      </c>
      <c r="T12" s="12" t="inlineStr">
        <is>
          <t>Must Have</t>
        </is>
      </c>
      <c r="U12" s="12" t="inlineStr">
        <is>
          <t>MVP</t>
        </is>
      </c>
      <c r="V12" s="34" t="n">
        <v>5</v>
      </c>
      <c r="W12" s="12" t="inlineStr">
        <is>
          <t>S01-S02</t>
        </is>
      </c>
      <c r="X12" s="12" t="inlineStr">
        <is>
          <t>Done</t>
        </is>
      </c>
      <c r="Y12" s="13" t="n">
        <v>1</v>
      </c>
      <c r="Z12" s="12" t="n"/>
      <c r="AA12" s="12" t="inlineStr">
        <is>
          <t>TC-040-B</t>
        </is>
      </c>
      <c r="AB12" s="12" t="inlineStr">
        <is>
          <t>Approved screen design; story reviewed with System Admin; dependencies, API contract, role permissions and test data identified.</t>
        </is>
      </c>
      <c r="AC12" s="12" t="inlineStr">
        <is>
          <t>Code reviewed; unit, API, UI, RBAC and integration tests pass; accessibility and responsive states verified; audit evidence captured; product owner accepts in staging.</t>
        </is>
      </c>
      <c r="AD12" s="12" t="inlineStr">
        <is>
          <t>Dual-purpose primary workflow: INVITE (POST /invitations creates invited user+membership+employee+roles+settings) and EDIT (PUT /users/{id}/access updates name/department/employee, replaces role assignment set, MFA + settings, optimistic-locked). Verified: invite Deepa Iyer; edit changed roles 2-&gt;1 + MFA off, reflected in Users list.</t>
        </is>
      </c>
    </row>
    <row r="13" ht="78" customHeight="1" s="43">
      <c r="A13" s="11" t="n">
        <v>1</v>
      </c>
      <c r="B13" s="11" t="n">
        <v>9</v>
      </c>
      <c r="C13" s="12" t="inlineStr">
        <is>
          <t>US-040-03</t>
        </is>
      </c>
      <c r="D13" s="12" t="inlineStr">
        <is>
          <t>Control permissions, overrides and audit for Invite or Edit User Access</t>
        </is>
      </c>
      <c r="E13" s="12" t="inlineStr">
        <is>
          <t>EPIC-19</t>
        </is>
      </c>
      <c r="F13" s="12" t="inlineStr">
        <is>
          <t>Administration</t>
        </is>
      </c>
      <c r="G13" s="12" t="inlineStr">
        <is>
          <t>Identity &amp; Access</t>
        </is>
      </c>
      <c r="H13" s="11" t="inlineStr">
        <is>
          <t>SCR-040</t>
        </is>
      </c>
      <c r="I13" s="12" t="inlineStr">
        <is>
          <t>Invite or Edit User Access</t>
        </is>
      </c>
      <c r="J13" s="12" t="inlineStr">
        <is>
          <t>Security / Exceptions</t>
        </is>
      </c>
      <c r="K13" s="12" t="inlineStr">
        <is>
          <t>System Admin</t>
        </is>
      </c>
      <c r="L13" s="12" t="inlineStr">
        <is>
          <t>As a department supervisor or auditor, I want sensitive actions in Invite or Edit User Access to follow permissions, approval limits and audit rules, so that resort operations remain secure, compliant and traceable.</t>
        </is>
      </c>
      <c r="M13" s="12" t="inlineStr">
        <is>
          <t>Reduces fraud, privacy leakage, unauthorized overrides and unresolved operational disputes.</t>
        </is>
      </c>
      <c r="N13" s="12" t="inlineStr">
        <is>
          <t>Roles, permissions, approval hierarchy and audit service are configured; allowed and denied test users exist.</t>
        </is>
      </c>
      <c r="O1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3" s="12" t="inlineStr">
        <is>
          <t>Tampered IDs, expired sessions, approval-limit violations and cross-tenant requests are rejected; secrets and sensitive guest/payment fields are never written to logs.</t>
        </is>
      </c>
      <c r="Q13" s="12" t="inlineStr">
        <is>
          <t>Tenant/property scope; required fields; optimistic locking; timezone-safe dates; reason mandatory for overrides; least privilege; secret masking; versioning; change approval</t>
        </is>
      </c>
      <c r="R13" s="12" t="inlineStr">
        <is>
          <t>Platform</t>
        </is>
      </c>
      <c r="S13" s="12" t="inlineStr">
        <is>
          <t>GET, POST, PUT/PATCH, DELETE /api/v1/invite-or-edit-user-access; lookup, validation and audit endpoints; idempotency for financial/booking writes; entities: users, roles, permissions, approvals, audit_logs, templates, import_jobs</t>
        </is>
      </c>
      <c r="T13" s="12" t="inlineStr">
        <is>
          <t>Must Have</t>
        </is>
      </c>
      <c r="U13" s="12" t="inlineStr">
        <is>
          <t>MVP</t>
        </is>
      </c>
      <c r="V13" s="34" t="n">
        <v>3</v>
      </c>
      <c r="W13" s="12" t="inlineStr">
        <is>
          <t>S01-S02</t>
        </is>
      </c>
      <c r="X13" s="12" t="inlineStr">
        <is>
          <t>Done</t>
        </is>
      </c>
      <c r="Y13" s="13" t="n">
        <v>1</v>
      </c>
      <c r="Z13" s="12" t="n"/>
      <c r="AA13" s="12" t="inlineStr">
        <is>
          <t>TC-040-C</t>
        </is>
      </c>
      <c r="AB13" s="12" t="inlineStr">
        <is>
          <t>Approved screen design; story reviewed with System Admin; dependencies, API contract, role permissions and test data identified.</t>
        </is>
      </c>
      <c r="AC13" s="12" t="inlineStr">
        <is>
          <t>Code reviewed; unit, API, UI, RBAC and integration tests pass; accessibility and responsive states verified; audit evidence captured; product owner accepts in staging.</t>
        </is>
      </c>
      <c r="AD13" s="12" t="inlineStr">
        <is>
          <t>Security/exceptions: RBAC user.create (invite) + user.update (edit) deny-by-default -&gt; 403; optimistic version conflict -&gt; 409; append-only audit invitation.create + user.access.update with before/after; cross-tenant rejected. Verified 403 + audit rows.</t>
        </is>
      </c>
    </row>
    <row r="14" ht="78" customHeight="1" s="43">
      <c r="A14" s="11" t="n">
        <v>1</v>
      </c>
      <c r="B14" s="11" t="n">
        <v>10</v>
      </c>
      <c r="C14" s="12" t="inlineStr">
        <is>
          <t>US-041-01</t>
        </is>
      </c>
      <c r="D14" s="12" t="inlineStr">
        <is>
          <t>View and find information in Roles and Permission Matrix</t>
        </is>
      </c>
      <c r="E14" s="12" t="inlineStr">
        <is>
          <t>EPIC-19</t>
        </is>
      </c>
      <c r="F14" s="12" t="inlineStr">
        <is>
          <t>Administration</t>
        </is>
      </c>
      <c r="G14" s="12" t="inlineStr">
        <is>
          <t>Authorization</t>
        </is>
      </c>
      <c r="H14" s="11" t="inlineStr">
        <is>
          <t>SCR-041</t>
        </is>
      </c>
      <c r="I14" s="12" t="inlineStr">
        <is>
          <t>Roles and Permission Matrix</t>
        </is>
      </c>
      <c r="J14" s="12" t="inlineStr">
        <is>
          <t>View / Search</t>
        </is>
      </c>
      <c r="K14" s="12" t="inlineStr">
        <is>
          <t>System Admin</t>
        </is>
      </c>
      <c r="L14" s="12" t="inlineStr">
        <is>
          <t>As a System Admin, I want to open Roles and Permission Matrix and find relevant records using search, filters and sorting, so that I can make accurate operational decisions.</t>
        </is>
      </c>
      <c r="M14" s="12" t="inlineStr">
        <is>
          <t>Provides timely visibility for authorization and reduces manual lookup effort.</t>
        </is>
      </c>
      <c r="N14" s="12" t="inlineStr">
        <is>
          <t>Authenticated user; active property; view permission for Administration; Platform data available.</t>
        </is>
      </c>
      <c r="O14" s="12" t="inlineStr">
        <is>
          <t>Given I am authenticated as System Admin with access to the selected property, when I open Roles and Permission Matrix,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4" s="12" t="inlineStr">
        <is>
          <t>Cross-property data never appears; unauthorized fields are masked; invalid filters do not break the screen; unavailable services return a controlled message.</t>
        </is>
      </c>
      <c r="Q14" s="12" t="inlineStr">
        <is>
          <t>Tenant/property scope; required fields; optimistic locking; timezone-safe dates; reason mandatory for overrides; least privilege; secret masking; versioning; change approval</t>
        </is>
      </c>
      <c r="R14" s="12" t="inlineStr">
        <is>
          <t>Platform</t>
        </is>
      </c>
      <c r="S14" s="12" t="inlineStr">
        <is>
          <t>GET, POST, PUT/PATCH, DELETE /api/v1/roles-and-permission-matrix; lookup, validation and audit endpoints; idempotency for financial/booking writes; entities: users, roles, permissions, approvals, audit_logs, templates, import_jobs</t>
        </is>
      </c>
      <c r="T14" s="12" t="inlineStr">
        <is>
          <t>Must Have</t>
        </is>
      </c>
      <c r="U14" s="12" t="inlineStr">
        <is>
          <t>MVP</t>
        </is>
      </c>
      <c r="V14" s="34" t="n">
        <v>3</v>
      </c>
      <c r="W14" s="12" t="inlineStr">
        <is>
          <t>S01-S02</t>
        </is>
      </c>
      <c r="X14" s="12" t="inlineStr">
        <is>
          <t>Done</t>
        </is>
      </c>
      <c r="Y14" s="13" t="n">
        <v>1</v>
      </c>
      <c r="Z14" s="12" t="n"/>
      <c r="AA14" s="12" t="inlineStr">
        <is>
          <t>TC-041-A</t>
        </is>
      </c>
      <c r="AB14" s="12" t="inlineStr">
        <is>
          <t>Approved screen design; story reviewed with System Admin; dependencies, API contract, role permissions and test data identified.</t>
        </is>
      </c>
      <c r="AC14" s="12" t="inlineStr">
        <is>
          <t>Code reviewed; unit, API, UI, RBAC and integration tests pass; accessibility and responsive states verified; audit evidence captured; product owner accepts in staging.</t>
        </is>
      </c>
      <c r="AD14" s="12" t="inlineStr">
        <is>
          <t>Roles &amp; Permission Matrix (mockup 041) view: 3-column layout, roles list with user counts, catalogue 13 modules x 7 actions, matrix loads role's permission grid + scope/limits. RBAC role.view. Verified.</t>
        </is>
      </c>
    </row>
    <row r="15" ht="78" customHeight="1" s="43">
      <c r="A15" s="11" t="n">
        <v>1</v>
      </c>
      <c r="B15" s="11" t="n">
        <v>11</v>
      </c>
      <c r="C15" s="12" t="inlineStr">
        <is>
          <t>US-041-02</t>
        </is>
      </c>
      <c r="D15" s="12" t="inlineStr">
        <is>
          <t>Complete the primary Roles and Permission Matrix workflow</t>
        </is>
      </c>
      <c r="E15" s="12" t="inlineStr">
        <is>
          <t>EPIC-19</t>
        </is>
      </c>
      <c r="F15" s="12" t="inlineStr">
        <is>
          <t>Administration</t>
        </is>
      </c>
      <c r="G15" s="12" t="inlineStr">
        <is>
          <t>Authorization</t>
        </is>
      </c>
      <c r="H15" s="11" t="inlineStr">
        <is>
          <t>SCR-041</t>
        </is>
      </c>
      <c r="I15" s="12" t="inlineStr">
        <is>
          <t>Roles and Permission Matrix</t>
        </is>
      </c>
      <c r="J15" s="12" t="inlineStr">
        <is>
          <t>Primary Workflow</t>
        </is>
      </c>
      <c r="K15" s="12" t="inlineStr">
        <is>
          <t>System Admin</t>
        </is>
      </c>
      <c r="L15" s="12" t="inlineStr">
        <is>
          <t>As a System Admin, I want to list, search, filter, view, create, edit, cancel/delete under policy, export in Roles and Permission Matrix, so that the authorization process is completed accurately without duplicate or inconsistent records.</t>
        </is>
      </c>
      <c r="M15" s="12" t="inlineStr">
        <is>
          <t>Enable administration users to manage authorization through the Roles and Permission Matrix workflow with real-time status, validations and traceability.</t>
        </is>
      </c>
      <c r="N15" s="12" t="inlineStr">
        <is>
          <t>View access confirmed; required masters and linked records exist; Platform services are available; approval limit is valid.</t>
        </is>
      </c>
      <c r="O1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roles and permission matrix workflow; invalid or conflicting actions are blocked with clear messages; saved changes appear in related screens; sensitive changes are auditable.</t>
        </is>
      </c>
      <c r="P15" s="12" t="inlineStr">
        <is>
          <t>Duplicate submission is idempotent; stale data returns a refresh/conflict message; invalid status transitions are blocked; partial failure rolls back without orphan records.</t>
        </is>
      </c>
      <c r="Q15" s="12" t="inlineStr">
        <is>
          <t>Tenant/property scope; required fields; optimistic locking; timezone-safe dates; reason mandatory for overrides; least privilege; secret masking; versioning; change approval</t>
        </is>
      </c>
      <c r="R15" s="12" t="inlineStr">
        <is>
          <t>Platform</t>
        </is>
      </c>
      <c r="S15" s="12" t="inlineStr">
        <is>
          <t>GET, POST, PUT/PATCH, DELETE /api/v1/roles-and-permission-matrix; lookup, validation and audit endpoints; idempotency for financial/booking writes; entities: users, roles, permissions, approvals, audit_logs, templates, import_jobs</t>
        </is>
      </c>
      <c r="T15" s="12" t="inlineStr">
        <is>
          <t>Must Have</t>
        </is>
      </c>
      <c r="U15" s="12" t="inlineStr">
        <is>
          <t>MVP</t>
        </is>
      </c>
      <c r="V15" s="34" t="n">
        <v>5</v>
      </c>
      <c r="W15" s="12" t="inlineStr">
        <is>
          <t>S01-S02</t>
        </is>
      </c>
      <c r="X15" s="12" t="inlineStr">
        <is>
          <t>Done</t>
        </is>
      </c>
      <c r="Y15" s="13" t="n">
        <v>1</v>
      </c>
      <c r="Z15" s="12" t="n"/>
      <c r="AA15" s="12" t="inlineStr">
        <is>
          <t>TC-041-B</t>
        </is>
      </c>
      <c r="AB15" s="12" t="inlineStr">
        <is>
          <t>Approved screen design; story reviewed with System Admin; dependencies, API contract, role permissions and test data identified.</t>
        </is>
      </c>
      <c r="AC15" s="12" t="inlineStr">
        <is>
          <t>Code reviewed; unit, API, UI, RBAC and integration tests pass; accessibility and responsive states verified; audit evidence captured; product owner accepts in staging.</t>
        </is>
      </c>
      <c r="AD15" s="12" t="inlineStr">
        <is>
          <t>Primary workflow: toggle module.action permissions, set property/record scope + max discount/refund, Save (PUT replaces role_permissions + updates scope/limits), Add Role, Clone Role (copies perms). Verified save round-trips + reload reflects + add/clone.</t>
        </is>
      </c>
    </row>
    <row r="16" ht="78" customHeight="1" s="43">
      <c r="A16" s="11" t="n">
        <v>1</v>
      </c>
      <c r="B16" s="11" t="n">
        <v>12</v>
      </c>
      <c r="C16" s="12" t="inlineStr">
        <is>
          <t>US-041-03</t>
        </is>
      </c>
      <c r="D16" s="12" t="inlineStr">
        <is>
          <t>Control permissions, overrides and audit for Roles and Permission Matrix</t>
        </is>
      </c>
      <c r="E16" s="12" t="inlineStr">
        <is>
          <t>EPIC-19</t>
        </is>
      </c>
      <c r="F16" s="12" t="inlineStr">
        <is>
          <t>Administration</t>
        </is>
      </c>
      <c r="G16" s="12" t="inlineStr">
        <is>
          <t>Authorization</t>
        </is>
      </c>
      <c r="H16" s="11" t="inlineStr">
        <is>
          <t>SCR-041</t>
        </is>
      </c>
      <c r="I16" s="12" t="inlineStr">
        <is>
          <t>Roles and Permission Matrix</t>
        </is>
      </c>
      <c r="J16" s="12" t="inlineStr">
        <is>
          <t>Security / Exceptions</t>
        </is>
      </c>
      <c r="K16" s="12" t="inlineStr">
        <is>
          <t>System Admin</t>
        </is>
      </c>
      <c r="L16" s="12" t="inlineStr">
        <is>
          <t>As a department supervisor or auditor, I want sensitive actions in Roles and Permission Matrix to follow permissions, approval limits and audit rules, so that resort operations remain secure, compliant and traceable.</t>
        </is>
      </c>
      <c r="M16" s="12" t="inlineStr">
        <is>
          <t>Reduces fraud, privacy leakage, unauthorized overrides and unresolved operational disputes.</t>
        </is>
      </c>
      <c r="N16" s="12" t="inlineStr">
        <is>
          <t>Roles, permissions, approval hierarchy and audit service are configured; allowed and denied test users exist.</t>
        </is>
      </c>
      <c r="O1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6" s="12" t="inlineStr">
        <is>
          <t>Tampered IDs, expired sessions, approval-limit violations and cross-tenant requests are rejected; secrets and sensitive guest/payment fields are never written to logs.</t>
        </is>
      </c>
      <c r="Q16" s="12" t="inlineStr">
        <is>
          <t>Tenant/property scope; required fields; optimistic locking; timezone-safe dates; reason mandatory for overrides; least privilege; secret masking; versioning; change approval</t>
        </is>
      </c>
      <c r="R16" s="12" t="inlineStr">
        <is>
          <t>Platform</t>
        </is>
      </c>
      <c r="S16" s="12" t="inlineStr">
        <is>
          <t>GET, POST, PUT/PATCH, DELETE /api/v1/roles-and-permission-matrix; lookup, validation and audit endpoints; idempotency for financial/booking writes; entities: users, roles, permissions, approvals, audit_logs, templates, import_jobs</t>
        </is>
      </c>
      <c r="T16" s="12" t="inlineStr">
        <is>
          <t>Must Have</t>
        </is>
      </c>
      <c r="U16" s="12" t="inlineStr">
        <is>
          <t>MVP</t>
        </is>
      </c>
      <c r="V16" s="34" t="n">
        <v>3</v>
      </c>
      <c r="W16" s="12" t="inlineStr">
        <is>
          <t>S01-S02</t>
        </is>
      </c>
      <c r="X16" s="12" t="inlineStr">
        <is>
          <t>Done</t>
        </is>
      </c>
      <c r="Y16" s="13" t="n">
        <v>1</v>
      </c>
      <c r="Z16" s="12" t="n"/>
      <c r="AA16" s="12" t="inlineStr">
        <is>
          <t>TC-041-C</t>
        </is>
      </c>
      <c r="AB16" s="12" t="inlineStr">
        <is>
          <t>Approved screen design; story reviewed with System Admin; dependencies, API contract, role permissions and test data identified.</t>
        </is>
      </c>
      <c r="AC16" s="12" t="inlineStr">
        <is>
          <t>Code reviewed; unit, API, UI, RBAC and integration tests pass; accessibility and responsive states verified; audit evidence captured; product owner accepts in staging.</t>
        </is>
      </c>
      <c r="AD16" s="12" t="inlineStr">
        <is>
          <t>Security/exceptions: RBAC role.view/role.manage deny-by-default (unauthorized -&gt; 403); append-only audit role.matrix.update/role.create/role.clone with before/after granted counts. Verified 403 + audit entries. Makes role permissions real for User Mgmt chips + Invite access preview.</t>
        </is>
      </c>
    </row>
    <row r="17" ht="78" customHeight="1" s="43">
      <c r="A17" s="11" t="n">
        <v>1</v>
      </c>
      <c r="B17" s="11" t="n">
        <v>13</v>
      </c>
      <c r="C17" s="12" t="inlineStr">
        <is>
          <t>US-042-01</t>
        </is>
      </c>
      <c r="D17" s="12" t="inlineStr">
        <is>
          <t>View and find information in Approval Limits and Queue</t>
        </is>
      </c>
      <c r="E17" s="12" t="inlineStr">
        <is>
          <t>EPIC-19</t>
        </is>
      </c>
      <c r="F17" s="12" t="inlineStr">
        <is>
          <t>Administration</t>
        </is>
      </c>
      <c r="G17" s="12" t="inlineStr">
        <is>
          <t>Approvals</t>
        </is>
      </c>
      <c r="H17" s="11" t="inlineStr">
        <is>
          <t>SCR-042</t>
        </is>
      </c>
      <c r="I17" s="12" t="inlineStr">
        <is>
          <t>Approval Limits and Queue</t>
        </is>
      </c>
      <c r="J17" s="12" t="inlineStr">
        <is>
          <t>View / Search</t>
        </is>
      </c>
      <c r="K17" s="12" t="inlineStr">
        <is>
          <t>System Admin</t>
        </is>
      </c>
      <c r="L17" s="12" t="inlineStr">
        <is>
          <t>As a System Admin, I want to open Approval Limits and Queue and find relevant records using search, filters and sorting, so that I can make accurate operational decisions.</t>
        </is>
      </c>
      <c r="M17" s="12" t="inlineStr">
        <is>
          <t>Provides timely visibility for approvals and reduces manual lookup effort.</t>
        </is>
      </c>
      <c r="N17" s="12" t="inlineStr">
        <is>
          <t>Authenticated user; active property; view permission for Administration; Platform data available.</t>
        </is>
      </c>
      <c r="O17" s="12" t="inlineStr">
        <is>
          <t>Given I am authenticated as System Admin with access to the selected property, when I open Approval Limits and Queue,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7" s="12" t="inlineStr">
        <is>
          <t>Cross-property data never appears; unauthorized fields are masked; invalid filters do not break the screen; unavailable services return a controlled message.</t>
        </is>
      </c>
      <c r="Q17" s="12" t="inlineStr">
        <is>
          <t>Tenant/property scope; required fields; optimistic locking; timezone-safe dates; reason mandatory for overrides; least privilege; secret masking; versioning; change approval</t>
        </is>
      </c>
      <c r="R17" s="12" t="inlineStr">
        <is>
          <t>Platform</t>
        </is>
      </c>
      <c r="S17" s="12" t="inlineStr">
        <is>
          <t>GET, POST/PATCH /api/v1/approval-limits-and-queue; lookup, validation and audit endpoints; idempotency for financial/booking writes; entities: users, roles, permissions, approvals, audit_logs, templates, import_jobs</t>
        </is>
      </c>
      <c r="T17" s="12" t="inlineStr">
        <is>
          <t>Must Have</t>
        </is>
      </c>
      <c r="U17" s="12" t="inlineStr">
        <is>
          <t>MVP</t>
        </is>
      </c>
      <c r="V17" s="34" t="n">
        <v>3</v>
      </c>
      <c r="W17" s="12" t="inlineStr">
        <is>
          <t>S01-S02</t>
        </is>
      </c>
      <c r="X17" s="12" t="inlineStr">
        <is>
          <t>Done</t>
        </is>
      </c>
      <c r="Y17" s="13" t="n">
        <v>1</v>
      </c>
      <c r="Z17" s="12" t="n"/>
      <c r="AA17" s="12" t="inlineStr">
        <is>
          <t>TC-042-A</t>
        </is>
      </c>
      <c r="AB17" s="12" t="inlineStr">
        <is>
          <t>Approved screen design; story reviewed with System Admin; dependencies, API contract, role permissions and test data identified.</t>
        </is>
      </c>
      <c r="AC17" s="12" t="inlineStr">
        <is>
          <t>Code reviewed; unit, API, UI, RBAC and integration tests pass; accessibility and responsive states verified; audit evidence captured; product owner accepts in staging.</t>
        </is>
      </c>
      <c r="AD17" s="12" t="inlineStr">
        <is>
          <t>Approval Queue (mockup 042) view: tabs Queue/Rules/History, filter chips (All/Discounts/Refunds/Rate Overrides/Other), request cards with requested-by/entity/policy/amount/due-in countdown; RBAC approval.view. Verified queue=4 with live due-in + category filter.</t>
        </is>
      </c>
    </row>
    <row r="18" ht="78" customHeight="1" s="43">
      <c r="A18" s="11" t="n">
        <v>1</v>
      </c>
      <c r="B18" s="11" t="n">
        <v>14</v>
      </c>
      <c r="C18" s="12" t="inlineStr">
        <is>
          <t>US-042-02</t>
        </is>
      </c>
      <c r="D18" s="12" t="inlineStr">
        <is>
          <t>Complete the primary Approval Limits and Queue workflow</t>
        </is>
      </c>
      <c r="E18" s="12" t="inlineStr">
        <is>
          <t>EPIC-19</t>
        </is>
      </c>
      <c r="F18" s="12" t="inlineStr">
        <is>
          <t>Administration</t>
        </is>
      </c>
      <c r="G18" s="12" t="inlineStr">
        <is>
          <t>Approvals</t>
        </is>
      </c>
      <c r="H18" s="11" t="inlineStr">
        <is>
          <t>SCR-042</t>
        </is>
      </c>
      <c r="I18" s="12" t="inlineStr">
        <is>
          <t>Approval Limits and Queue</t>
        </is>
      </c>
      <c r="J18" s="12" t="inlineStr">
        <is>
          <t>Primary Workflow</t>
        </is>
      </c>
      <c r="K18" s="12" t="inlineStr">
        <is>
          <t>System Admin</t>
        </is>
      </c>
      <c r="L18" s="12" t="inlineStr">
        <is>
          <t>As a System Admin, I want to view, approve, reject, comment, escalate in Approval Limits and Queue, so that the approvals process is completed accurately without duplicate or inconsistent records.</t>
        </is>
      </c>
      <c r="M18" s="12" t="inlineStr">
        <is>
          <t>Enable administration users to manage approvals through the Approval Limits and Queue workflow with real-time status, validations and traceability.</t>
        </is>
      </c>
      <c r="N18" s="12" t="inlineStr">
        <is>
          <t>View access confirmed; required masters and linked records exist; Platform services are available; approval limit is valid.</t>
        </is>
      </c>
      <c r="O1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approval limits and queue workflow; invalid or conflicting actions are blocked with clear messages; saved changes appear in related screens; sensitive changes are auditable.</t>
        </is>
      </c>
      <c r="P18" s="12" t="inlineStr">
        <is>
          <t>Duplicate submission is idempotent; stale data returns a refresh/conflict message; invalid status transitions are blocked; partial failure rolls back without orphan records.</t>
        </is>
      </c>
      <c r="Q18" s="12" t="inlineStr">
        <is>
          <t>Tenant/property scope; required fields; optimistic locking; timezone-safe dates; reason mandatory for overrides; least privilege; secret masking; versioning; change approval</t>
        </is>
      </c>
      <c r="R18" s="12" t="inlineStr">
        <is>
          <t>Platform</t>
        </is>
      </c>
      <c r="S18" s="12" t="inlineStr">
        <is>
          <t>GET, POST/PATCH /api/v1/approval-limits-and-queue; lookup, validation and audit endpoints; idempotency for financial/booking writes; entities: users, roles, permissions, approvals, audit_logs, templates, import_jobs</t>
        </is>
      </c>
      <c r="T18" s="12" t="inlineStr">
        <is>
          <t>Must Have</t>
        </is>
      </c>
      <c r="U18" s="12" t="inlineStr">
        <is>
          <t>MVP</t>
        </is>
      </c>
      <c r="V18" s="34" t="n">
        <v>5</v>
      </c>
      <c r="W18" s="12" t="inlineStr">
        <is>
          <t>S01-S02</t>
        </is>
      </c>
      <c r="X18" s="12" t="inlineStr">
        <is>
          <t>Done</t>
        </is>
      </c>
      <c r="Y18" s="13" t="n">
        <v>1</v>
      </c>
      <c r="Z18" s="12" t="n"/>
      <c r="AA18" s="12" t="inlineStr">
        <is>
          <t>TC-042-B</t>
        </is>
      </c>
      <c r="AB18" s="12" t="inlineStr">
        <is>
          <t>Approved screen design; story reviewed with System Admin; dependencies, API contract, role permissions and test data identified.</t>
        </is>
      </c>
      <c r="AC18" s="12" t="inlineStr">
        <is>
          <t>Code reviewed; unit, API, UI, RBAC and integration tests pass; accessibility and responsive states verified; audit evidence captured; product owner accepts in staging.</t>
        </is>
      </c>
      <c r="AD18" s="12" t="inlineStr">
        <is>
          <t>Primary workflow: rule detail panel (name, applies-to, initiator/approver role chips, threshold, two-level/self-approval toggles) + Approve/Reject -&gt; POST approve/reject, append-only approval_decisions, status transitions, moves to History. Verified approve dropped queue 4-&gt;3, appears in history.</t>
        </is>
      </c>
    </row>
    <row r="19" ht="78" customHeight="1" s="43">
      <c r="A19" s="11" t="n">
        <v>1</v>
      </c>
      <c r="B19" s="11" t="n">
        <v>15</v>
      </c>
      <c r="C19" s="12" t="inlineStr">
        <is>
          <t>US-042-03</t>
        </is>
      </c>
      <c r="D19" s="12" t="inlineStr">
        <is>
          <t>Control permissions, overrides and audit for Approval Limits and Queue</t>
        </is>
      </c>
      <c r="E19" s="12" t="inlineStr">
        <is>
          <t>EPIC-19</t>
        </is>
      </c>
      <c r="F19" s="12" t="inlineStr">
        <is>
          <t>Administration</t>
        </is>
      </c>
      <c r="G19" s="12" t="inlineStr">
        <is>
          <t>Approvals</t>
        </is>
      </c>
      <c r="H19" s="11" t="inlineStr">
        <is>
          <t>SCR-042</t>
        </is>
      </c>
      <c r="I19" s="12" t="inlineStr">
        <is>
          <t>Approval Limits and Queue</t>
        </is>
      </c>
      <c r="J19" s="12" t="inlineStr">
        <is>
          <t>Security / Exceptions</t>
        </is>
      </c>
      <c r="K19" s="12" t="inlineStr">
        <is>
          <t>System Admin</t>
        </is>
      </c>
      <c r="L19" s="12" t="inlineStr">
        <is>
          <t>As a department supervisor or auditor, I want sensitive actions in Approval Limits and Queue to follow permissions, approval limits and audit rules, so that resort operations remain secure, compliant and traceable.</t>
        </is>
      </c>
      <c r="M19" s="12" t="inlineStr">
        <is>
          <t>Reduces fraud, privacy leakage, unauthorized overrides and unresolved operational disputes.</t>
        </is>
      </c>
      <c r="N19" s="12" t="inlineStr">
        <is>
          <t>Roles, permissions, approval hierarchy and audit service are configured; allowed and denied test users exist.</t>
        </is>
      </c>
      <c r="O1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9" s="12" t="inlineStr">
        <is>
          <t>Tampered IDs, expired sessions, approval-limit violations and cross-tenant requests are rejected; secrets and sensitive guest/payment fields are never written to logs.</t>
        </is>
      </c>
      <c r="Q19" s="12" t="inlineStr">
        <is>
          <t>Tenant/property scope; required fields; optimistic locking; timezone-safe dates; reason mandatory for overrides; least privilege; secret masking; versioning; change approval</t>
        </is>
      </c>
      <c r="R19" s="12" t="inlineStr">
        <is>
          <t>Platform</t>
        </is>
      </c>
      <c r="S19" s="12" t="inlineStr">
        <is>
          <t>GET, POST/PATCH /api/v1/approval-limits-and-queue; lookup, validation and audit endpoints; idempotency for financial/booking writes; entities: users, roles, permissions, approvals, audit_logs, templates, import_jobs</t>
        </is>
      </c>
      <c r="T19" s="12" t="inlineStr">
        <is>
          <t>Must Have</t>
        </is>
      </c>
      <c r="U19" s="12" t="inlineStr">
        <is>
          <t>MVP</t>
        </is>
      </c>
      <c r="V19" s="34" t="n">
        <v>3</v>
      </c>
      <c r="W19" s="12" t="inlineStr">
        <is>
          <t>S01-S02</t>
        </is>
      </c>
      <c r="X19" s="12" t="inlineStr">
        <is>
          <t>Done</t>
        </is>
      </c>
      <c r="Y19" s="13" t="n">
        <v>1</v>
      </c>
      <c r="Z19" s="12" t="n"/>
      <c r="AA19" s="12" t="inlineStr">
        <is>
          <t>TC-042-C</t>
        </is>
      </c>
      <c r="AB19" s="12" t="inlineStr">
        <is>
          <t>Approved screen design; story reviewed with System Admin; dependencies, API contract, role permissions and test data identified.</t>
        </is>
      </c>
      <c r="AC19" s="12" t="inlineStr">
        <is>
          <t>Code reviewed; unit, API, UI, RBAC and integration tests pass; accessibility and responsive states verified; audit evidence captured; product owner accepts in staging.</t>
        </is>
      </c>
      <c r="AD19" s="12" t="inlineStr">
        <is>
          <t>Security/exceptions: RBAC approval.view/decide deny-by-default (unauthorized -&gt; 403); prohibit-self-approval guard (initiator cannot approve own -&gt; 409); append-only audit approval.approved/rejected. Verified 403 + audit approval.approved.</t>
        </is>
      </c>
    </row>
    <row r="20" ht="78" customHeight="1" s="43">
      <c r="A20" s="11" t="n">
        <v>1</v>
      </c>
      <c r="B20" s="11" t="n">
        <v>16</v>
      </c>
      <c r="C20" s="12" t="inlineStr">
        <is>
          <t>US-043-01</t>
        </is>
      </c>
      <c r="D20" s="12" t="inlineStr">
        <is>
          <t>View and find information in Audit Log</t>
        </is>
      </c>
      <c r="E20" s="12" t="inlineStr">
        <is>
          <t>EPIC-19</t>
        </is>
      </c>
      <c r="F20" s="12" t="inlineStr">
        <is>
          <t>Administration</t>
        </is>
      </c>
      <c r="G20" s="12" t="inlineStr">
        <is>
          <t>Audit &amp; Compliance</t>
        </is>
      </c>
      <c r="H20" s="11" t="inlineStr">
        <is>
          <t>SCR-043</t>
        </is>
      </c>
      <c r="I20" s="12" t="inlineStr">
        <is>
          <t>Audit Log</t>
        </is>
      </c>
      <c r="J20" s="12" t="inlineStr">
        <is>
          <t>View / Search</t>
        </is>
      </c>
      <c r="K20" s="12" t="inlineStr">
        <is>
          <t>System Admin</t>
        </is>
      </c>
      <c r="L20" s="12" t="inlineStr">
        <is>
          <t>As a System Admin, I want to open Audit Log and find relevant records using search, filters and sorting, so that I can make accurate operational decisions.</t>
        </is>
      </c>
      <c r="M20" s="12" t="inlineStr">
        <is>
          <t>Provides timely visibility for audit &amp; compliance and reduces manual lookup effort.</t>
        </is>
      </c>
      <c r="N20" s="12" t="inlineStr">
        <is>
          <t>Authenticated user; active property; view permission for Administration; Platform data available.</t>
        </is>
      </c>
      <c r="O20" s="12" t="inlineStr">
        <is>
          <t>Given I am authenticated as System Admin with access to the selected property, when I open Audit Log,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0" s="12" t="inlineStr">
        <is>
          <t>Cross-property data never appears; unauthorized fields are masked; invalid filters do not break the screen; unavailable services return a controlled message.</t>
        </is>
      </c>
      <c r="Q20" s="12" t="inlineStr">
        <is>
          <t>Tenant/property scope; required fields; optimistic locking; timezone-safe dates; reason mandatory for overrides; least privilege; secret masking; versioning; change approval</t>
        </is>
      </c>
      <c r="R20" s="12" t="inlineStr">
        <is>
          <t>Platform</t>
        </is>
      </c>
      <c r="S20" s="12" t="inlineStr">
        <is>
          <t>GET, POST/PATCH /api/v1/audit-log; lookup, validation and audit endpoints; idempotency for financial/booking writes; entities: users, roles, permissions, approvals, audit_logs, templates, import_jobs</t>
        </is>
      </c>
      <c r="T20" s="12" t="inlineStr">
        <is>
          <t>Must Have</t>
        </is>
      </c>
      <c r="U20" s="12" t="inlineStr">
        <is>
          <t>MVP</t>
        </is>
      </c>
      <c r="V20" s="34" t="n">
        <v>3</v>
      </c>
      <c r="W20" s="12" t="inlineStr">
        <is>
          <t>S01-S02</t>
        </is>
      </c>
      <c r="X20" s="12" t="inlineStr">
        <is>
          <t>Done</t>
        </is>
      </c>
      <c r="Y20" s="13" t="n">
        <v>1</v>
      </c>
      <c r="Z20" s="12" t="n"/>
      <c r="AA20" s="12" t="inlineStr">
        <is>
          <t>TC-043-A</t>
        </is>
      </c>
      <c r="AB20" s="12" t="inlineStr">
        <is>
          <t>Approved screen design; story reviewed with System Admin; dependencies, API contract, role permissions and test data identified.</t>
        </is>
      </c>
      <c r="AC20" s="12" t="inlineStr">
        <is>
          <t>Code reviewed; unit, API, UI, RBAC and integration tests pass; accessibility and responsive states verified; audit evidence captured; product owner accepts in staging.</t>
        </is>
      </c>
      <c r="AD20" s="12" t="inlineStr">
        <is>
          <t>Audit Log (mockup 043) view: GET /audit/events org-scoped with filters (action, module/entity, search) + derived risk badges; events table over real iam.audit_events (25+ events from all screens). RBAC audit.view. Verified real events + filters.</t>
        </is>
      </c>
    </row>
    <row r="21" ht="78" customHeight="1" s="43">
      <c r="A21" s="11" t="n">
        <v>1</v>
      </c>
      <c r="B21" s="11" t="n">
        <v>17</v>
      </c>
      <c r="C21" s="12" t="inlineStr">
        <is>
          <t>US-043-02</t>
        </is>
      </c>
      <c r="D21" s="12" t="inlineStr">
        <is>
          <t>Complete the primary Audit Log workflow</t>
        </is>
      </c>
      <c r="E21" s="12" t="inlineStr">
        <is>
          <t>EPIC-19</t>
        </is>
      </c>
      <c r="F21" s="12" t="inlineStr">
        <is>
          <t>Administration</t>
        </is>
      </c>
      <c r="G21" s="12" t="inlineStr">
        <is>
          <t>Audit &amp; Compliance</t>
        </is>
      </c>
      <c r="H21" s="11" t="inlineStr">
        <is>
          <t>SCR-043</t>
        </is>
      </c>
      <c r="I21" s="12" t="inlineStr">
        <is>
          <t>Audit Log</t>
        </is>
      </c>
      <c r="J21" s="12" t="inlineStr">
        <is>
          <t>Primary Workflow</t>
        </is>
      </c>
      <c r="K21" s="12" t="inlineStr">
        <is>
          <t>System Admin</t>
        </is>
      </c>
      <c r="L21" s="12" t="inlineStr">
        <is>
          <t>As a System Admin, I want to view, filter, search, drill down, export, refresh in Audit Log, so that the audit &amp; compliance process is completed accurately without duplicate or inconsistent records.</t>
        </is>
      </c>
      <c r="M21" s="12" t="inlineStr">
        <is>
          <t>Enable administration users to manage audit &amp; compliance through the Audit Log workflow with real-time status, validations and traceability.</t>
        </is>
      </c>
      <c r="N21" s="12" t="inlineStr">
        <is>
          <t>View access confirmed; required masters and linked records exist; Platform services are available; approval limit is valid.</t>
        </is>
      </c>
      <c r="O2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audit log workflow; invalid or conflicting actions are blocked with clear messages; saved changes appear in related screens; sensitive changes are auditable.</t>
        </is>
      </c>
      <c r="P21" s="12" t="inlineStr">
        <is>
          <t>Duplicate submission is idempotent; stale data returns a refresh/conflict message; invalid status transitions are blocked; partial failure rolls back without orphan records.</t>
        </is>
      </c>
      <c r="Q21" s="12" t="inlineStr">
        <is>
          <t>Tenant/property scope; required fields; optimistic locking; timezone-safe dates; reason mandatory for overrides; least privilege; secret masking; versioning; change approval</t>
        </is>
      </c>
      <c r="R21" s="12" t="inlineStr">
        <is>
          <t>Platform</t>
        </is>
      </c>
      <c r="S21" s="12" t="inlineStr">
        <is>
          <t>GET, POST/PATCH /api/v1/audit-log; lookup, validation and audit endpoints; idempotency for financial/booking writes; entities: users, roles, permissions, approvals, audit_logs, templates, import_jobs</t>
        </is>
      </c>
      <c r="T21" s="12" t="inlineStr">
        <is>
          <t>Must Have</t>
        </is>
      </c>
      <c r="U21" s="12" t="inlineStr">
        <is>
          <t>MVP</t>
        </is>
      </c>
      <c r="V21" s="34" t="n">
        <v>5</v>
      </c>
      <c r="W21" s="12" t="inlineStr">
        <is>
          <t>S01-S02</t>
        </is>
      </c>
      <c r="X21" s="12" t="inlineStr">
        <is>
          <t>Done</t>
        </is>
      </c>
      <c r="Y21" s="13" t="n">
        <v>1</v>
      </c>
      <c r="Z21" s="12" t="n"/>
      <c r="AA21" s="12" t="inlineStr">
        <is>
          <t>TC-043-B</t>
        </is>
      </c>
      <c r="AB21" s="12" t="inlineStr">
        <is>
          <t>Approved screen design; story reviewed with System Admin; dependencies, API contract, role permissions and test data identified.</t>
        </is>
      </c>
      <c r="AC21" s="12" t="inlineStr">
        <is>
          <t>Code reviewed; unit, API, UI, RBAC and integration tests pass; accessibility and responsive states verified; audit evidence captured; product owner accepts in staging.</t>
        </is>
      </c>
      <c r="AD21" s="12" t="inlineStr">
        <is>
          <t>Primary workflow: filter/search/drill-down; Event Details panel with actor/action/module/entity/result/correlation + redacted before/after JSON via GET /audit/events/{id}. Verified detail with before/after on role.matrix.update. EXTENDED: GET /audit/events now takes entity_id as a comma-separated SET, so another screen can scope the trail to one record whose history spans several rows (a reservation plus its deposit instalments); /admin/audit reads ?entity_id= and ?scope_label= from the URL and shows a banner naming the scope with a Show all activity escape. Verified: 11 events scoped to CBR39535923, 0 for a bogus id, 163 unscoped.</t>
        </is>
      </c>
    </row>
    <row r="22" ht="78" customHeight="1" s="43">
      <c r="A22" s="11" t="n">
        <v>1</v>
      </c>
      <c r="B22" s="11" t="n">
        <v>18</v>
      </c>
      <c r="C22" s="12" t="inlineStr">
        <is>
          <t>US-043-03</t>
        </is>
      </c>
      <c r="D22" s="12" t="inlineStr">
        <is>
          <t>Control permissions, overrides and audit for Audit Log</t>
        </is>
      </c>
      <c r="E22" s="12" t="inlineStr">
        <is>
          <t>EPIC-19</t>
        </is>
      </c>
      <c r="F22" s="12" t="inlineStr">
        <is>
          <t>Administration</t>
        </is>
      </c>
      <c r="G22" s="12" t="inlineStr">
        <is>
          <t>Audit &amp; Compliance</t>
        </is>
      </c>
      <c r="H22" s="11" t="inlineStr">
        <is>
          <t>SCR-043</t>
        </is>
      </c>
      <c r="I22" s="12" t="inlineStr">
        <is>
          <t>Audit Log</t>
        </is>
      </c>
      <c r="J22" s="12" t="inlineStr">
        <is>
          <t>Security / Exceptions</t>
        </is>
      </c>
      <c r="K22" s="12" t="inlineStr">
        <is>
          <t>System Admin</t>
        </is>
      </c>
      <c r="L22" s="12" t="inlineStr">
        <is>
          <t>As a department supervisor or auditor, I want sensitive actions in Audit Log to follow permissions, approval limits and audit rules, so that resort operations remain secure, compliant and traceable.</t>
        </is>
      </c>
      <c r="M22" s="12" t="inlineStr">
        <is>
          <t>Reduces fraud, privacy leakage, unauthorized overrides and unresolved operational disputes.</t>
        </is>
      </c>
      <c r="N22" s="12" t="inlineStr">
        <is>
          <t>Roles, permissions, approval hierarchy and audit service are configured; allowed and denied test users exist.</t>
        </is>
      </c>
      <c r="O2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2" s="12" t="inlineStr">
        <is>
          <t>Tampered IDs, expired sessions, approval-limit violations and cross-tenant requests are rejected; secrets and sensitive guest/payment fields are never written to logs.</t>
        </is>
      </c>
      <c r="Q22" s="12" t="inlineStr">
        <is>
          <t>Tenant/property scope; required fields; optimistic locking; timezone-safe dates; reason mandatory for overrides; least privilege; secret masking; versioning; change approval</t>
        </is>
      </c>
      <c r="R22" s="12" t="inlineStr">
        <is>
          <t>Platform</t>
        </is>
      </c>
      <c r="S22" s="12" t="inlineStr">
        <is>
          <t>GET, POST/PATCH /api/v1/audit-log; lookup, validation and audit endpoints; idempotency for financial/booking writes; entities: users, roles, permissions, approvals, audit_logs, templates, import_jobs</t>
        </is>
      </c>
      <c r="T22" s="12" t="inlineStr">
        <is>
          <t>Must Have</t>
        </is>
      </c>
      <c r="U22" s="12" t="inlineStr">
        <is>
          <t>MVP</t>
        </is>
      </c>
      <c r="V22" s="34" t="n">
        <v>3</v>
      </c>
      <c r="W22" s="12" t="inlineStr">
        <is>
          <t>S01-S02</t>
        </is>
      </c>
      <c r="X22" s="12" t="inlineStr">
        <is>
          <t>Done</t>
        </is>
      </c>
      <c r="Y22" s="13" t="n">
        <v>1</v>
      </c>
      <c r="Z22" s="12" t="n"/>
      <c r="AA22" s="12" t="inlineStr">
        <is>
          <t>TC-043-C</t>
        </is>
      </c>
      <c r="AB22" s="12" t="inlineStr">
        <is>
          <t>Approved screen design; story reviewed with System Admin; dependencies, API contract, role permissions and test data identified.</t>
        </is>
      </c>
      <c r="AC22" s="12" t="inlineStr">
        <is>
          <t>Code reviewed; unit, API, UI, RBAC and integration tests pass; accessibility and responsive states verified; audit evidence captured; product owner accepts in staging.</t>
        </is>
      </c>
      <c r="AD22" s="12" t="inlineStr">
        <is>
          <t>Security/exceptions: append-only (no edit/delete); RBAC audit.view deny-by-default (unauthorized -&gt; 403); cross-tenant events excluded; before/after redacted. Verified 403 + org-scoped read.</t>
        </is>
      </c>
    </row>
    <row r="23" ht="78" customHeight="1" s="43">
      <c r="A23" s="11" t="n">
        <v>1</v>
      </c>
      <c r="B23" s="11" t="n">
        <v>19</v>
      </c>
      <c r="C23" s="12" t="inlineStr">
        <is>
          <t>US-059-01</t>
        </is>
      </c>
      <c r="D23" s="12" t="inlineStr">
        <is>
          <t>View and find information in Add or Edit Room</t>
        </is>
      </c>
      <c r="E23" s="12" t="inlineStr">
        <is>
          <t>EPIC-05</t>
        </is>
      </c>
      <c r="F23" s="12" t="inlineStr">
        <is>
          <t>Property &amp; Rooms</t>
        </is>
      </c>
      <c r="G23" s="12" t="inlineStr">
        <is>
          <t>Room Master</t>
        </is>
      </c>
      <c r="H23" s="11" t="inlineStr">
        <is>
          <t>SCR-059</t>
        </is>
      </c>
      <c r="I23" s="12" t="inlineStr">
        <is>
          <t>Add or Edit Room</t>
        </is>
      </c>
      <c r="J23" s="12" t="inlineStr">
        <is>
          <t>View / Search</t>
        </is>
      </c>
      <c r="K23" s="12" t="inlineStr">
        <is>
          <t>Property Admin</t>
        </is>
      </c>
      <c r="L23" s="12" t="inlineStr">
        <is>
          <t>As a Property Admin, I want to open Add or Edit Room and find relevant records using search, filters and sorting, so that I can make accurate operational decisions.</t>
        </is>
      </c>
      <c r="M23" s="12" t="inlineStr">
        <is>
          <t>Provides timely visibility for room master and reduces manual lookup effort.</t>
        </is>
      </c>
      <c r="N23" s="12" t="inlineStr">
        <is>
          <t>Authenticated user; active property; view permission for Property &amp; Rooms; Administration data available.</t>
        </is>
      </c>
      <c r="O23" s="12" t="inlineStr">
        <is>
          <t>Given I am authenticated as Property Admin with access to the selected property, when I open Add or Edit Room,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3" s="12" t="inlineStr">
        <is>
          <t>Cross-property data never appears; unauthorized fields are masked; invalid filters do not break the screen; unavailable services return a controlled message.</t>
        </is>
      </c>
      <c r="Q23" s="12" t="inlineStr">
        <is>
          <t>Tenant/property scope; required fields; optimistic locking; timezone-safe dates; reason mandatory for overrides; valid status transition; linked-record integrity</t>
        </is>
      </c>
      <c r="R23" s="12" t="inlineStr">
        <is>
          <t>Administration</t>
        </is>
      </c>
      <c r="S23" s="12" t="inlineStr">
        <is>
          <t>GET, POST, PUT/PATCH, DELETE /api/v1/add-or-edit-room; lookup, validation and audit endpoints; idempotency for financial/booking writes; entities: properties, buildings, floors, room_types, rooms, amenities</t>
        </is>
      </c>
      <c r="T23" s="12" t="inlineStr">
        <is>
          <t>Must Have</t>
        </is>
      </c>
      <c r="U23" s="12" t="inlineStr">
        <is>
          <t>MVP</t>
        </is>
      </c>
      <c r="V23" s="34" t="n">
        <v>3</v>
      </c>
      <c r="W23" s="12" t="inlineStr">
        <is>
          <t>S01-S02</t>
        </is>
      </c>
      <c r="X23" s="12" t="inlineStr">
        <is>
          <t>Done</t>
        </is>
      </c>
      <c r="Y23" s="13" t="n">
        <v>1</v>
      </c>
      <c r="Z23" s="12" t="n"/>
      <c r="AA23" s="12" t="inlineStr">
        <is>
          <t>TC-059-A</t>
        </is>
      </c>
      <c r="AB23" s="12" t="inlineStr">
        <is>
          <t>Approved screen design; story reviewed with Property Admin; dependencies, API contract, role permissions and test data identified.</t>
        </is>
      </c>
      <c r="AC23" s="12" t="inlineStr">
        <is>
          <t>Code reviewed; unit, API, UI, RBAC and integration tests pass; accessibility and responsive states verified; audit evidence captured; product owner accepts in staging.</t>
        </is>
      </c>
      <c r="AD23" s="12" t="inlineStr">
        <is>
          <t>Add or Edit Room (mockup 059) view: loads room + amenities + photos; Add mode seeds from /rooms/facets. Live Validation panel and Audit Information. Photos section now built - gallery renders uploaded photos with a Primary badge, backed by property.room_photos in MinIO with presigned URLs. RBAC rooms.view. Verified upload through the browser file input.</t>
        </is>
      </c>
    </row>
    <row r="24" ht="78" customHeight="1" s="43">
      <c r="A24" s="11" t="n">
        <v>1</v>
      </c>
      <c r="B24" s="11" t="n">
        <v>20</v>
      </c>
      <c r="C24" s="12" t="inlineStr">
        <is>
          <t>US-059-02</t>
        </is>
      </c>
      <c r="D24" s="12" t="inlineStr">
        <is>
          <t>Complete the primary Add or Edit Room workflow</t>
        </is>
      </c>
      <c r="E24" s="12" t="inlineStr">
        <is>
          <t>EPIC-05</t>
        </is>
      </c>
      <c r="F24" s="12" t="inlineStr">
        <is>
          <t>Property &amp; Rooms</t>
        </is>
      </c>
      <c r="G24" s="12" t="inlineStr">
        <is>
          <t>Room Master</t>
        </is>
      </c>
      <c r="H24" s="11" t="inlineStr">
        <is>
          <t>SCR-059</t>
        </is>
      </c>
      <c r="I24" s="12" t="inlineStr">
        <is>
          <t>Add or Edit Room</t>
        </is>
      </c>
      <c r="J24" s="12" t="inlineStr">
        <is>
          <t>Primary Workflow</t>
        </is>
      </c>
      <c r="K24" s="12" t="inlineStr">
        <is>
          <t>Property Admin</t>
        </is>
      </c>
      <c r="L24" s="12" t="inlineStr">
        <is>
          <t>As a Property Admin, I want to list, view, create, edit, activate/deactivate, delete where safe in Add or Edit Room, so that the room master process is completed accurately without duplicate or inconsistent records.</t>
        </is>
      </c>
      <c r="M24" s="12" t="inlineStr">
        <is>
          <t>Enable property &amp; rooms users to manage room master through the Add or Edit Room workflow with real-time status, validations and traceability.</t>
        </is>
      </c>
      <c r="N24" s="12" t="inlineStr">
        <is>
          <t>View access confirmed; required masters and linked records exist; Administration services are available; approval limit is valid.</t>
        </is>
      </c>
      <c r="O2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add or edit room workflow; invalid or conflicting actions are blocked with clear messages; saved changes appear in related screens; sensitive changes are auditable.</t>
        </is>
      </c>
      <c r="P24" s="12" t="inlineStr">
        <is>
          <t>Duplicate submission is idempotent; stale data returns a refresh/conflict message; invalid status transitions are blocked; partial failure rolls back without orphan records.</t>
        </is>
      </c>
      <c r="Q24" s="12" t="inlineStr">
        <is>
          <t>Tenant/property scope; required fields; optimistic locking; timezone-safe dates; reason mandatory for overrides; valid status transition; linked-record integrity</t>
        </is>
      </c>
      <c r="R24" s="12" t="inlineStr">
        <is>
          <t>Administration</t>
        </is>
      </c>
      <c r="S24" s="12" t="inlineStr">
        <is>
          <t>GET, POST, PUT/PATCH, DELETE /api/v1/add-or-edit-room; lookup, validation and audit endpoints; idempotency for financial/booking writes; entities: properties, buildings, floors, room_types, rooms, amenities</t>
        </is>
      </c>
      <c r="T24" s="12" t="inlineStr">
        <is>
          <t>Must Have</t>
        </is>
      </c>
      <c r="U24" s="12" t="inlineStr">
        <is>
          <t>MVP</t>
        </is>
      </c>
      <c r="V24" s="34" t="n">
        <v>5</v>
      </c>
      <c r="W24" s="12" t="inlineStr">
        <is>
          <t>S01-S02</t>
        </is>
      </c>
      <c r="X24" s="12" t="inlineStr">
        <is>
          <t>Done</t>
        </is>
      </c>
      <c r="Y24" s="13" t="n">
        <v>1</v>
      </c>
      <c r="Z24" s="12" t="n"/>
      <c r="AA24" s="12" t="inlineStr">
        <is>
          <t>TC-059-B</t>
        </is>
      </c>
      <c r="AB24" s="12" t="inlineStr">
        <is>
          <t>Approved screen design; story reviewed with Property Admin; dependencies, API contract, role permissions and test data identified.</t>
        </is>
      </c>
      <c r="AC24" s="12" t="inlineStr">
        <is>
          <t>Code reviewed; unit, API, UI, RBAC and integration tests pass; accessibility and responsive states verified; audit evidence captured; product owner accepts in staging.</t>
        </is>
      </c>
      <c r="AD24" s="12" t="inlineStr">
        <is>
          <t>Primary workflow: create/update covering basic info, occupancy, bed setup, view, base rate, housekeeping zone, accessibility, near-elevator, status/service status, notes and the amenity set. Photo upload / make-primary / delete. Footer now matches the mockup: Cancel, Save Draft (writes status='draft'), Save Room, Deactivate/Activate. Optimistic locking. Verified draft round-trip 200 and photo upload/delete.</t>
        </is>
      </c>
    </row>
    <row r="25" ht="78" customHeight="1" s="43">
      <c r="A25" s="11" t="n">
        <v>1</v>
      </c>
      <c r="B25" s="11" t="n">
        <v>21</v>
      </c>
      <c r="C25" s="12" t="inlineStr">
        <is>
          <t>US-059-03</t>
        </is>
      </c>
      <c r="D25" s="12" t="inlineStr">
        <is>
          <t>Control permissions, overrides and audit for Add or Edit Room</t>
        </is>
      </c>
      <c r="E25" s="12" t="inlineStr">
        <is>
          <t>EPIC-05</t>
        </is>
      </c>
      <c r="F25" s="12" t="inlineStr">
        <is>
          <t>Property &amp; Rooms</t>
        </is>
      </c>
      <c r="G25" s="12" t="inlineStr">
        <is>
          <t>Room Master</t>
        </is>
      </c>
      <c r="H25" s="11" t="inlineStr">
        <is>
          <t>SCR-059</t>
        </is>
      </c>
      <c r="I25" s="12" t="inlineStr">
        <is>
          <t>Add or Edit Room</t>
        </is>
      </c>
      <c r="J25" s="12" t="inlineStr">
        <is>
          <t>Security / Exceptions</t>
        </is>
      </c>
      <c r="K25" s="12" t="inlineStr">
        <is>
          <t>Property Admin</t>
        </is>
      </c>
      <c r="L25" s="12" t="inlineStr">
        <is>
          <t>As a department supervisor or auditor, I want sensitive actions in Add or Edit Room to follow permissions, approval limits and audit rules, so that resort operations remain secure, compliant and traceable.</t>
        </is>
      </c>
      <c r="M25" s="12" t="inlineStr">
        <is>
          <t>Reduces fraud, privacy leakage, unauthorized overrides and unresolved operational disputes.</t>
        </is>
      </c>
      <c r="N25" s="12" t="inlineStr">
        <is>
          <t>Roles, permissions, approval hierarchy and audit service are configured; allowed and denied test users exist.</t>
        </is>
      </c>
      <c r="O2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5" s="12" t="inlineStr">
        <is>
          <t>Tampered IDs, expired sessions, approval-limit violations and cross-tenant requests are rejected; secrets and sensitive guest/payment fields are never written to logs.</t>
        </is>
      </c>
      <c r="Q25" s="12" t="inlineStr">
        <is>
          <t>Tenant/property scope; required fields; optimistic locking; timezone-safe dates; reason mandatory for overrides; valid status transition; linked-record integrity</t>
        </is>
      </c>
      <c r="R25" s="12" t="inlineStr">
        <is>
          <t>Administration</t>
        </is>
      </c>
      <c r="S25" s="12" t="inlineStr">
        <is>
          <t>GET, POST, PUT/PATCH, DELETE /api/v1/add-or-edit-room; lookup, validation and audit endpoints; idempotency for financial/booking writes; entities: properties, buildings, floors, room_types, rooms, amenities</t>
        </is>
      </c>
      <c r="T25" s="12" t="inlineStr">
        <is>
          <t>Must Have</t>
        </is>
      </c>
      <c r="U25" s="12" t="inlineStr">
        <is>
          <t>MVP</t>
        </is>
      </c>
      <c r="V25" s="34" t="n">
        <v>3</v>
      </c>
      <c r="W25" s="12" t="inlineStr">
        <is>
          <t>S01-S02</t>
        </is>
      </c>
      <c r="X25" s="12" t="inlineStr">
        <is>
          <t>Done</t>
        </is>
      </c>
      <c r="Y25" s="13" t="n">
        <v>1</v>
      </c>
      <c r="Z25" s="12" t="n"/>
      <c r="AA25" s="12" t="inlineStr">
        <is>
          <t>TC-059-C</t>
        </is>
      </c>
      <c r="AB25" s="12" t="inlineStr">
        <is>
          <t>Approved screen design; story reviewed with Property Admin; dependencies, API contract, role permissions and test data identified.</t>
        </is>
      </c>
      <c r="AC25" s="12" t="inlineStr">
        <is>
          <t>Code reviewed; unit, API, UI, RBAC and integration tests pass; accessibility and responsive states verified; audit evidence captured; product owner accepts in staging.</t>
        </is>
      </c>
      <c r="AD25" s="12" t="inlineStr">
        <is>
          <t>Security/exceptions: RBAC rooms.create / rooms.edit deny-by-default -&gt; 403; stale version -&gt; 409; duplicate room number -&gt; 409; invalid accessibility/status enum -&gt; 422; room type outside property -&gt; 422; cross-tenant -&gt; 403; append-only audit room.create/room.update with before/after. Verified 409/409/422/403.</t>
        </is>
      </c>
    </row>
    <row r="26" ht="78" customHeight="1" s="43">
      <c r="A26" s="11" t="n">
        <v>1</v>
      </c>
      <c r="B26" s="11" t="n">
        <v>22</v>
      </c>
      <c r="C26" s="12" t="inlineStr">
        <is>
          <t>US-060-01</t>
        </is>
      </c>
      <c r="D26" s="12" t="inlineStr">
        <is>
          <t>View and find information in Room Type Management</t>
        </is>
      </c>
      <c r="E26" s="12" t="inlineStr">
        <is>
          <t>EPIC-05</t>
        </is>
      </c>
      <c r="F26" s="12" t="inlineStr">
        <is>
          <t>Property &amp; Rooms</t>
        </is>
      </c>
      <c r="G26" s="12" t="inlineStr">
        <is>
          <t>Room Type Master</t>
        </is>
      </c>
      <c r="H26" s="11" t="inlineStr">
        <is>
          <t>SCR-060</t>
        </is>
      </c>
      <c r="I26" s="12" t="inlineStr">
        <is>
          <t>Room Type Management</t>
        </is>
      </c>
      <c r="J26" s="12" t="inlineStr">
        <is>
          <t>View / Search</t>
        </is>
      </c>
      <c r="K26" s="12" t="inlineStr">
        <is>
          <t>Property Admin</t>
        </is>
      </c>
      <c r="L26" s="12" t="inlineStr">
        <is>
          <t>As a Property Admin, I want to open Room Type Management and find relevant records using search, filters and sorting, so that I can make accurate operational decisions.</t>
        </is>
      </c>
      <c r="M26" s="12" t="inlineStr">
        <is>
          <t>Provides timely visibility for room type master and reduces manual lookup effort.</t>
        </is>
      </c>
      <c r="N26" s="12" t="inlineStr">
        <is>
          <t>Authenticated user; active property; view permission for Property &amp; Rooms; Administration data available.</t>
        </is>
      </c>
      <c r="O26" s="12" t="inlineStr">
        <is>
          <t>Given I am authenticated as Property Admin with access to the selected property, when I open Room Type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6" s="12" t="inlineStr">
        <is>
          <t>Cross-property data never appears; unauthorized fields are masked; invalid filters do not break the screen; unavailable services return a controlled message.</t>
        </is>
      </c>
      <c r="Q26" s="12" t="inlineStr">
        <is>
          <t>Tenant/property scope; required fields; optimistic locking; timezone-safe dates; reason mandatory for overrides; valid status transition; linked-record integrity</t>
        </is>
      </c>
      <c r="R26" s="12" t="inlineStr">
        <is>
          <t>Administration</t>
        </is>
      </c>
      <c r="S26" s="12" t="inlineStr">
        <is>
          <t>GET, POST, PUT/PATCH, DELETE /api/v1/room-type-management; lookup, validation and audit endpoints; idempotency for financial/booking writes; entities: properties, buildings, floors, room_types, rooms, amenities</t>
        </is>
      </c>
      <c r="T26" s="12" t="inlineStr">
        <is>
          <t>Must Have</t>
        </is>
      </c>
      <c r="U26" s="12" t="inlineStr">
        <is>
          <t>MVP</t>
        </is>
      </c>
      <c r="V26" s="34" t="n">
        <v>3</v>
      </c>
      <c r="W26" s="12" t="inlineStr">
        <is>
          <t>S01-S02</t>
        </is>
      </c>
      <c r="X26" s="12" t="inlineStr">
        <is>
          <t>Done</t>
        </is>
      </c>
      <c r="Y26" s="13" t="n">
        <v>1</v>
      </c>
      <c r="Z26" s="12" t="n"/>
      <c r="AA26" s="12" t="inlineStr">
        <is>
          <t>TC-060-A</t>
        </is>
      </c>
      <c r="AB26" s="12" t="inlineStr">
        <is>
          <t>Approved screen design; story reviewed with Property Admin; dependencies, API contract, role permissions and test data identified.</t>
        </is>
      </c>
      <c r="AC26" s="12" t="inlineStr">
        <is>
          <t>Code reviewed; unit, API, UI, RBAC and integration tests pass; accessibility and responsive states verified; audit evidence captured; product owner accepts in staging.</t>
        </is>
      </c>
      <c r="AD26" s="12" t="inlineStr">
        <is>
          <t>Room Type Management (mockup 060) rebuilt as a real screen at /property/room-types (also a tab on Rooms). 4 KPI cards from GET /room-types/stats (room types active/inactive, total keys active/inactive, max guest capacity, average base rate); search by name/code; Status + Room View + Sort By filters server-side; table with thumbnail, name+description, code, total/active rooms, base rate, status. RBAC rooms.view. Verified 4 types, KPIs 4/44/132/6500.</t>
        </is>
      </c>
    </row>
    <row r="27" ht="78" customHeight="1" s="43">
      <c r="A27" s="11" t="n">
        <v>1</v>
      </c>
      <c r="B27" s="11" t="n">
        <v>23</v>
      </c>
      <c r="C27" s="12" t="inlineStr">
        <is>
          <t>US-060-02</t>
        </is>
      </c>
      <c r="D27" s="12" t="inlineStr">
        <is>
          <t>Complete the primary Room Type Management workflow</t>
        </is>
      </c>
      <c r="E27" s="12" t="inlineStr">
        <is>
          <t>EPIC-05</t>
        </is>
      </c>
      <c r="F27" s="12" t="inlineStr">
        <is>
          <t>Property &amp; Rooms</t>
        </is>
      </c>
      <c r="G27" s="12" t="inlineStr">
        <is>
          <t>Room Type Master</t>
        </is>
      </c>
      <c r="H27" s="11" t="inlineStr">
        <is>
          <t>SCR-060</t>
        </is>
      </c>
      <c r="I27" s="12" t="inlineStr">
        <is>
          <t>Room Type Management</t>
        </is>
      </c>
      <c r="J27" s="12" t="inlineStr">
        <is>
          <t>Primary Workflow</t>
        </is>
      </c>
      <c r="K27" s="12" t="inlineStr">
        <is>
          <t>Property Admin</t>
        </is>
      </c>
      <c r="L27" s="12" t="inlineStr">
        <is>
          <t>As a Property Admin, I want to list, view, create, edit, activate/deactivate, delete where safe in Room Type Management, so that the room type master process is completed accurately without duplicate or inconsistent records.</t>
        </is>
      </c>
      <c r="M27" s="12" t="inlineStr">
        <is>
          <t>Enable property &amp; rooms users to manage room type master through the Room Type Management workflow with real-time status, validations and traceability.</t>
        </is>
      </c>
      <c r="N27" s="12" t="inlineStr">
        <is>
          <t>View access confirmed; required masters and linked records exist; Administration services are available; approval limit is valid.</t>
        </is>
      </c>
      <c r="O2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room type management workflow; invalid or conflicting actions are blocked with clear messages; saved changes appear in related screens; sensitive changes are auditable.</t>
        </is>
      </c>
      <c r="P27" s="12" t="inlineStr">
        <is>
          <t>Duplicate submission is idempotent; stale data returns a refresh/conflict message; invalid status transitions are blocked; partial failure rolls back without orphan records.</t>
        </is>
      </c>
      <c r="Q27" s="12" t="inlineStr">
        <is>
          <t>Tenant/property scope; required fields; optimistic locking; timezone-safe dates; reason mandatory for overrides; valid status transition; linked-record integrity</t>
        </is>
      </c>
      <c r="R27" s="12" t="inlineStr">
        <is>
          <t>Administration</t>
        </is>
      </c>
      <c r="S27" s="12" t="inlineStr">
        <is>
          <t>GET, POST, PUT/PATCH, DELETE /api/v1/room-type-management; lookup, validation and audit endpoints; idempotency for financial/booking writes; entities: properties, buildings, floors, room_types, rooms, amenities</t>
        </is>
      </c>
      <c r="T27" s="12" t="inlineStr">
        <is>
          <t>Must Have</t>
        </is>
      </c>
      <c r="U27" s="12" t="inlineStr">
        <is>
          <t>MVP</t>
        </is>
      </c>
      <c r="V27" s="34" t="n">
        <v>5</v>
      </c>
      <c r="W27" s="12" t="inlineStr">
        <is>
          <t>S01-S02</t>
        </is>
      </c>
      <c r="X27" s="12" t="inlineStr">
        <is>
          <t>Done</t>
        </is>
      </c>
      <c r="Y27" s="13" t="n">
        <v>1</v>
      </c>
      <c r="Z27" s="12" t="n"/>
      <c r="AA27" s="12" t="inlineStr">
        <is>
          <t>TC-060-B</t>
        </is>
      </c>
      <c r="AB27" s="12" t="inlineStr">
        <is>
          <t>Approved screen design; story reviewed with Property Admin; dependencies, API contract, role permissions and test data identified.</t>
        </is>
      </c>
      <c r="AC27" s="12" t="inlineStr">
        <is>
          <t>Code reviewed; unit, API, UI, RBAC and integration tests pass; accessibility and responsive states verified; audit evidence captured; product owner accepts in staging.</t>
        </is>
      </c>
      <c r="AD27" s="12" t="inlineStr">
        <is>
          <t>Right-hand Edit Room Type panel matches the mockup: photo gallery + Change Photo/Add More, Active toggle, name/code, description with 500-char counter, Max Occupancy, Child Policy, Room Size, Bed Configuration, Extra Bed Option (+charge), Base Rate, Room View, Default Rate Plan, per-type amenity checklist, and Created by / Last modified audit lines. Actions: Save Changes, Duplicate (clones fields + amenities as inactive), Deactivate/Activate. Optimistic locking. Verified duplicate 201 and amenity checklist round-trip. NOTE: photo UPLOAD is not wired - property.room_type_photos and the gallery render real photos when present, but there is no upload endpoint yet.</t>
        </is>
      </c>
    </row>
    <row r="28" ht="78" customHeight="1" s="43">
      <c r="A28" s="11" t="n">
        <v>1</v>
      </c>
      <c r="B28" s="11" t="n">
        <v>24</v>
      </c>
      <c r="C28" s="12" t="inlineStr">
        <is>
          <t>US-060-03</t>
        </is>
      </c>
      <c r="D28" s="12" t="inlineStr">
        <is>
          <t>Control permissions, overrides and audit for Room Type Management</t>
        </is>
      </c>
      <c r="E28" s="12" t="inlineStr">
        <is>
          <t>EPIC-05</t>
        </is>
      </c>
      <c r="F28" s="12" t="inlineStr">
        <is>
          <t>Property &amp; Rooms</t>
        </is>
      </c>
      <c r="G28" s="12" t="inlineStr">
        <is>
          <t>Room Type Master</t>
        </is>
      </c>
      <c r="H28" s="11" t="inlineStr">
        <is>
          <t>SCR-060</t>
        </is>
      </c>
      <c r="I28" s="12" t="inlineStr">
        <is>
          <t>Room Type Management</t>
        </is>
      </c>
      <c r="J28" s="12" t="inlineStr">
        <is>
          <t>Security / Exceptions</t>
        </is>
      </c>
      <c r="K28" s="12" t="inlineStr">
        <is>
          <t>Property Admin</t>
        </is>
      </c>
      <c r="L28" s="12" t="inlineStr">
        <is>
          <t>As a department supervisor or auditor, I want sensitive actions in Room Type Management to follow permissions, approval limits and audit rules, so that resort operations remain secure, compliant and traceable.</t>
        </is>
      </c>
      <c r="M28" s="12" t="inlineStr">
        <is>
          <t>Reduces fraud, privacy leakage, unauthorized overrides and unresolved operational disputes.</t>
        </is>
      </c>
      <c r="N28" s="12" t="inlineStr">
        <is>
          <t>Roles, permissions, approval hierarchy and audit service are configured; allowed and denied test users exist.</t>
        </is>
      </c>
      <c r="O2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8" s="12" t="inlineStr">
        <is>
          <t>Tampered IDs, expired sessions, approval-limit violations and cross-tenant requests are rejected; secrets and sensitive guest/payment fields are never written to logs.</t>
        </is>
      </c>
      <c r="Q28" s="12" t="inlineStr">
        <is>
          <t>Tenant/property scope; required fields; optimistic locking; timezone-safe dates; reason mandatory for overrides; valid status transition; linked-record integrity</t>
        </is>
      </c>
      <c r="R28" s="12" t="inlineStr">
        <is>
          <t>Administration</t>
        </is>
      </c>
      <c r="S28" s="12" t="inlineStr">
        <is>
          <t>GET, POST, PUT/PATCH, DELETE /api/v1/room-type-management; lookup, validation and audit endpoints; idempotency for financial/booking writes; entities: properties, buildings, floors, room_types, rooms, amenities</t>
        </is>
      </c>
      <c r="T28" s="12" t="inlineStr">
        <is>
          <t>Must Have</t>
        </is>
      </c>
      <c r="U28" s="12" t="inlineStr">
        <is>
          <t>MVP</t>
        </is>
      </c>
      <c r="V28" s="34" t="n">
        <v>3</v>
      </c>
      <c r="W28" s="12" t="inlineStr">
        <is>
          <t>S01-S02</t>
        </is>
      </c>
      <c r="X28" s="12" t="inlineStr">
        <is>
          <t>Done</t>
        </is>
      </c>
      <c r="Y28" s="13" t="n">
        <v>1</v>
      </c>
      <c r="Z28" s="12" t="n"/>
      <c r="AA28" s="12" t="inlineStr">
        <is>
          <t>TC-060-C</t>
        </is>
      </c>
      <c r="AB28" s="12" t="inlineStr">
        <is>
          <t>Approved screen design; story reviewed with Property Admin; dependencies, API contract, role permissions and test data identified.</t>
        </is>
      </c>
      <c r="AC28" s="12" t="inlineStr">
        <is>
          <t>Code reviewed; unit, API, UI, RBAC and integration tests pass; accessibility and responsive states verified; audit evidence captured; product owner accepts in staging.</t>
        </is>
      </c>
      <c r="AD28" s="12" t="inlineStr">
        <is>
          <t>Security/exceptions: RBAC rooms.view / rooms.configure deny-by-default (401 no token, 403 no permission); cross-tenant property_id -&gt; 403; duplicate code -&gt; 409; stale version -&gt; 409; max_occupancy below max_adults -&gt; 422; deactivating a type still used by active rooms -&gt; 409; append-only audit room_type.create/update/duplicate/active/inactive with before/after. Verified 409/409/422/403/401.</t>
        </is>
      </c>
    </row>
    <row r="29" ht="78" customHeight="1" s="43">
      <c r="A29" s="11" t="n">
        <v>1</v>
      </c>
      <c r="B29" s="11" t="n">
        <v>25</v>
      </c>
      <c r="C29" s="12" t="inlineStr">
        <is>
          <t>US-061-01</t>
        </is>
      </c>
      <c r="D29" s="12" t="inlineStr">
        <is>
          <t>View and find information in Building and Floor Management</t>
        </is>
      </c>
      <c r="E29" s="12" t="inlineStr">
        <is>
          <t>EPIC-05</t>
        </is>
      </c>
      <c r="F29" s="12" t="inlineStr">
        <is>
          <t>Property &amp; Rooms</t>
        </is>
      </c>
      <c r="G29" s="12" t="inlineStr">
        <is>
          <t>Property Hierarchy</t>
        </is>
      </c>
      <c r="H29" s="11" t="inlineStr">
        <is>
          <t>SCR-061</t>
        </is>
      </c>
      <c r="I29" s="12" t="inlineStr">
        <is>
          <t>Building and Floor Management</t>
        </is>
      </c>
      <c r="J29" s="12" t="inlineStr">
        <is>
          <t>View / Search</t>
        </is>
      </c>
      <c r="K29" s="12" t="inlineStr">
        <is>
          <t>Property Admin</t>
        </is>
      </c>
      <c r="L29" s="12" t="inlineStr">
        <is>
          <t>As a Property Admin, I want to open Building and Floor Management and find relevant records using search, filters and sorting, so that I can make accurate operational decisions.</t>
        </is>
      </c>
      <c r="M29" s="12" t="inlineStr">
        <is>
          <t>Provides timely visibility for property hierarchy and reduces manual lookup effort.</t>
        </is>
      </c>
      <c r="N29" s="12" t="inlineStr">
        <is>
          <t>Authenticated user; active property; view permission for Property &amp; Rooms; Administration data available.</t>
        </is>
      </c>
      <c r="O29" s="12" t="inlineStr">
        <is>
          <t>Given I am authenticated as Property Admin with access to the selected property, when I open Building and Floor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9" s="12" t="inlineStr">
        <is>
          <t>Cross-property data never appears; unauthorized fields are masked; invalid filters do not break the screen; unavailable services return a controlled message.</t>
        </is>
      </c>
      <c r="Q29" s="12" t="inlineStr">
        <is>
          <t>Tenant/property scope; required fields; optimistic locking; timezone-safe dates; reason mandatory for overrides; valid status transition; linked-record integrity</t>
        </is>
      </c>
      <c r="R29" s="12" t="inlineStr">
        <is>
          <t>Administration</t>
        </is>
      </c>
      <c r="S29" s="12" t="inlineStr">
        <is>
          <t>GET, POST, PUT/PATCH, DELETE /api/v1/building-and-floor-management; lookup, validation and audit endpoints; idempotency for financial/booking writes; entities: properties, buildings, floors, room_types, rooms, amenities</t>
        </is>
      </c>
      <c r="T29" s="12" t="inlineStr">
        <is>
          <t>Must Have</t>
        </is>
      </c>
      <c r="U29" s="12" t="inlineStr">
        <is>
          <t>MVP</t>
        </is>
      </c>
      <c r="V29" s="34" t="n">
        <v>3</v>
      </c>
      <c r="W29" s="12" t="inlineStr">
        <is>
          <t>S01-S02</t>
        </is>
      </c>
      <c r="X29" s="12" t="inlineStr">
        <is>
          <t>Done</t>
        </is>
      </c>
      <c r="Y29" s="13" t="n">
        <v>1</v>
      </c>
      <c r="Z29" s="12" t="n"/>
      <c r="AA29" s="12" t="inlineStr">
        <is>
          <t>TC-061-A</t>
        </is>
      </c>
      <c r="AB29" s="12" t="inlineStr">
        <is>
          <t>Approved screen design; story reviewed with Property Admin; dependencies, API contract, role permissions and test data identified.</t>
        </is>
      </c>
      <c r="AC29" s="12" t="inlineStr">
        <is>
          <t>Code reviewed; unit, API, UI, RBAC and integration tests pass; accessibility and responsive states verified; audit evidence captured; product owner accepts in staging.</t>
        </is>
      </c>
      <c r="AD29" s="12" t="inlineStr">
        <is>
          <t>Buildings &amp; Floors (mockup 061) view at /property/buildings, also in the Property menu. Left tree lists buildings (name, N Floors | N Rooms, Active/Inactive) with expandable floors showing 'Floor Name (Code)', declared room range and live room count. Room counts are always derived from rooms actually linked to the floor, never from the range, so the two can be compared instead of silently disagreeing. RBAC rooms.view. Verified: Bay View Wing / First Floor (1) / Rooms 101-144 / 44 Rooms from real data.</t>
        </is>
      </c>
    </row>
    <row r="30" ht="78" customHeight="1" s="43">
      <c r="A30" s="11" t="n">
        <v>1</v>
      </c>
      <c r="B30" s="11" t="n">
        <v>26</v>
      </c>
      <c r="C30" s="12" t="inlineStr">
        <is>
          <t>US-061-02</t>
        </is>
      </c>
      <c r="D30" s="12" t="inlineStr">
        <is>
          <t>Complete the primary Building and Floor Management workflow</t>
        </is>
      </c>
      <c r="E30" s="12" t="inlineStr">
        <is>
          <t>EPIC-05</t>
        </is>
      </c>
      <c r="F30" s="12" t="inlineStr">
        <is>
          <t>Property &amp; Rooms</t>
        </is>
      </c>
      <c r="G30" s="12" t="inlineStr">
        <is>
          <t>Property Hierarchy</t>
        </is>
      </c>
      <c r="H30" s="11" t="inlineStr">
        <is>
          <t>SCR-061</t>
        </is>
      </c>
      <c r="I30" s="12" t="inlineStr">
        <is>
          <t>Building and Floor Management</t>
        </is>
      </c>
      <c r="J30" s="12" t="inlineStr">
        <is>
          <t>Primary Workflow</t>
        </is>
      </c>
      <c r="K30" s="12" t="inlineStr">
        <is>
          <t>Property Admin</t>
        </is>
      </c>
      <c r="L30" s="12" t="inlineStr">
        <is>
          <t>As a Property Admin, I want to list, view, create, edit, activate/deactivate, delete where safe in Building and Floor Management, so that the property hierarchy process is completed accurately without duplicate or inconsistent records.</t>
        </is>
      </c>
      <c r="M30" s="12" t="inlineStr">
        <is>
          <t>Enable property &amp; rooms users to manage property hierarchy through the Building and Floor Management workflow with real-time status, validations and traceability.</t>
        </is>
      </c>
      <c r="N30" s="12" t="inlineStr">
        <is>
          <t>View access confirmed; required masters and linked records exist; Administration services are available; approval limit is valid.</t>
        </is>
      </c>
      <c r="O3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building and floor management workflow; invalid or conflicting actions are blocked with clear messages; saved changes appear in related screens; sensitive changes are auditable.</t>
        </is>
      </c>
      <c r="P30" s="12" t="inlineStr">
        <is>
          <t>Duplicate submission is idempotent; stale data returns a refresh/conflict message; invalid status transitions are blocked; partial failure rolls back without orphan records.</t>
        </is>
      </c>
      <c r="Q30" s="12" t="inlineStr">
        <is>
          <t>Tenant/property scope; required fields; optimistic locking; timezone-safe dates; reason mandatory for overrides; valid status transition; linked-record integrity</t>
        </is>
      </c>
      <c r="R30" s="12" t="inlineStr">
        <is>
          <t>Administration</t>
        </is>
      </c>
      <c r="S30" s="12" t="inlineStr">
        <is>
          <t>GET, POST, PUT/PATCH, DELETE /api/v1/building-and-floor-management; lookup, validation and audit endpoints; idempotency for financial/booking writes; entities: properties, buildings, floors, room_types, rooms, amenities</t>
        </is>
      </c>
      <c r="T30" s="12" t="inlineStr">
        <is>
          <t>Must Have</t>
        </is>
      </c>
      <c r="U30" s="12" t="inlineStr">
        <is>
          <t>MVP</t>
        </is>
      </c>
      <c r="V30" s="34" t="n">
        <v>5</v>
      </c>
      <c r="W30" s="12" t="inlineStr">
        <is>
          <t>S01-S02</t>
        </is>
      </c>
      <c r="X30" s="12" t="inlineStr">
        <is>
          <t>Done</t>
        </is>
      </c>
      <c r="Y30" s="13" t="n">
        <v>1</v>
      </c>
      <c r="Z30" s="12" t="n"/>
      <c r="AA30" s="12" t="inlineStr">
        <is>
          <t>TC-061-B</t>
        </is>
      </c>
      <c r="AB30" s="12" t="inlineStr">
        <is>
          <t>Approved screen design; story reviewed with Property Admin; dependencies, API contract, role permissions and test data identified.</t>
        </is>
      </c>
      <c r="AC30" s="12" t="inlineStr">
        <is>
          <t>Code reviewed; unit, API, UI, RBAC and integration tests pass; accessibility and responsive states verified; audit evidence captured; product owner accepts in staging.</t>
        </is>
      </c>
      <c r="AD30" s="12" t="inlineStr">
        <is>
          <t>Primary workflow: Add Building, Add floor to &lt;building&gt;, and the Edit Floor panel (Building, Floor Name, Floor Code with the room-number hint, From/To Room No., read-only Total Rooms, Display Order with its ordering hint, Status, Audit Information). Actions: Save Changes, Move Rooms (reassigns rooms to another floor, updating building_id/floor_id and the legacy text column together), Deactivate/Activate, and Reorder mode for buildings and floors (POST /buildings/reorder, /floors/reorder). Optimistic locking throughout. Verified create building 201, create floor 201, reorder, and move-rooms.</t>
        </is>
      </c>
    </row>
    <row r="31" ht="78" customHeight="1" s="43">
      <c r="A31" s="11" t="n">
        <v>1</v>
      </c>
      <c r="B31" s="11" t="n">
        <v>27</v>
      </c>
      <c r="C31" s="12" t="inlineStr">
        <is>
          <t>US-061-03</t>
        </is>
      </c>
      <c r="D31" s="12" t="inlineStr">
        <is>
          <t>Control permissions, overrides and audit for Building and Floor Management</t>
        </is>
      </c>
      <c r="E31" s="12" t="inlineStr">
        <is>
          <t>EPIC-05</t>
        </is>
      </c>
      <c r="F31" s="12" t="inlineStr">
        <is>
          <t>Property &amp; Rooms</t>
        </is>
      </c>
      <c r="G31" s="12" t="inlineStr">
        <is>
          <t>Property Hierarchy</t>
        </is>
      </c>
      <c r="H31" s="11" t="inlineStr">
        <is>
          <t>SCR-061</t>
        </is>
      </c>
      <c r="I31" s="12" t="inlineStr">
        <is>
          <t>Building and Floor Management</t>
        </is>
      </c>
      <c r="J31" s="12" t="inlineStr">
        <is>
          <t>Security / Exceptions</t>
        </is>
      </c>
      <c r="K31" s="12" t="inlineStr">
        <is>
          <t>Property Admin</t>
        </is>
      </c>
      <c r="L31" s="12" t="inlineStr">
        <is>
          <t>As a department supervisor or auditor, I want sensitive actions in Building and Floor Management to follow permissions, approval limits and audit rules, so that resort operations remain secure, compliant and traceable.</t>
        </is>
      </c>
      <c r="M31" s="12" t="inlineStr">
        <is>
          <t>Reduces fraud, privacy leakage, unauthorized overrides and unresolved operational disputes.</t>
        </is>
      </c>
      <c r="N31" s="12" t="inlineStr">
        <is>
          <t>Roles, permissions, approval hierarchy and audit service are configured; allowed and denied test users exist.</t>
        </is>
      </c>
      <c r="O3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1" s="12" t="inlineStr">
        <is>
          <t>Tampered IDs, expired sessions, approval-limit violations and cross-tenant requests are rejected; secrets and sensitive guest/payment fields are never written to logs.</t>
        </is>
      </c>
      <c r="Q31" s="12" t="inlineStr">
        <is>
          <t>Tenant/property scope; required fields; optimistic locking; timezone-safe dates; reason mandatory for overrides; valid status transition; linked-record integrity</t>
        </is>
      </c>
      <c r="R31" s="12" t="inlineStr">
        <is>
          <t>Administration</t>
        </is>
      </c>
      <c r="S31" s="12" t="inlineStr">
        <is>
          <t>GET, POST, PUT/PATCH, DELETE /api/v1/building-and-floor-management; lookup, validation and audit endpoints; idempotency for financial/booking writes; entities: properties, buildings, floors, room_types, rooms, amenities</t>
        </is>
      </c>
      <c r="T31" s="12" t="inlineStr">
        <is>
          <t>Must Have</t>
        </is>
      </c>
      <c r="U31" s="12" t="inlineStr">
        <is>
          <t>MVP</t>
        </is>
      </c>
      <c r="V31" s="34" t="n">
        <v>3</v>
      </c>
      <c r="W31" s="12" t="inlineStr">
        <is>
          <t>S01-S02</t>
        </is>
      </c>
      <c r="X31" s="12" t="inlineStr">
        <is>
          <t>Done</t>
        </is>
      </c>
      <c r="Y31" s="13" t="n">
        <v>1</v>
      </c>
      <c r="Z31" s="12" t="n"/>
      <c r="AA31" s="12" t="inlineStr">
        <is>
          <t>TC-061-C</t>
        </is>
      </c>
      <c r="AB31" s="12" t="inlineStr">
        <is>
          <t>Approved screen design; story reviewed with Property Admin; dependencies, API contract, role permissions and test data identified.</t>
        </is>
      </c>
      <c r="AC31" s="12" t="inlineStr">
        <is>
          <t>Code reviewed; unit, API, UI, RBAC and integration tests pass; accessibility and responsive states verified; audit evidence captured; product owner accepts in staging.</t>
        </is>
      </c>
      <c r="AD31" s="12" t="inlineStr">
        <is>
          <t>Security/exceptions: RBAC rooms.view / rooms.configure deny-by-default (401 no token, 403 no permission); cross-tenant property_id -&gt; 403; duplicate building code -&gt; 409; duplicate floor code within a building -&gt; 409; stale version -&gt; 409; invalid status -&gt; 422; move-rooms to the same floor -&gt; 422 and to a missing floor -&gt; 404. KEY RULE: a floor (or building) cannot be deactivated while its rooms hold live reservations - GET /floors/{id} returns can_deactivate + blocker_message so the screen explains the block up front, and the write path enforces it again. Verified end-to-end: deactivate returned 409 '1 active reservation(s) still use rooms on this floor' while an assignment existed, then 200 once released. Append-only audit for building.create/update/reorder and floor.create/update/move_rooms/reorder.</t>
        </is>
      </c>
    </row>
    <row r="32" ht="78" customHeight="1" s="43">
      <c r="A32" s="11" t="n">
        <v>1</v>
      </c>
      <c r="B32" s="11" t="n">
        <v>28</v>
      </c>
      <c r="C32" s="12" t="inlineStr">
        <is>
          <t>US-062-01</t>
        </is>
      </c>
      <c r="D32" s="12" t="inlineStr">
        <is>
          <t>View and find information in Amenities Management</t>
        </is>
      </c>
      <c r="E32" s="12" t="inlineStr">
        <is>
          <t>EPIC-05</t>
        </is>
      </c>
      <c r="F32" s="12" t="inlineStr">
        <is>
          <t>Property &amp; Rooms</t>
        </is>
      </c>
      <c r="G32" s="12" t="inlineStr">
        <is>
          <t>Amenities Master</t>
        </is>
      </c>
      <c r="H32" s="11" t="inlineStr">
        <is>
          <t>SCR-062</t>
        </is>
      </c>
      <c r="I32" s="12" t="inlineStr">
        <is>
          <t>Amenities Management</t>
        </is>
      </c>
      <c r="J32" s="12" t="inlineStr">
        <is>
          <t>View / Search</t>
        </is>
      </c>
      <c r="K32" s="12" t="inlineStr">
        <is>
          <t>Property Admin</t>
        </is>
      </c>
      <c r="L32" s="12" t="inlineStr">
        <is>
          <t>As a Property Admin, I want to open Amenities Management and find relevant records using search, filters and sorting, so that I can make accurate operational decisions.</t>
        </is>
      </c>
      <c r="M32" s="12" t="inlineStr">
        <is>
          <t>Provides timely visibility for amenities master and reduces manual lookup effort.</t>
        </is>
      </c>
      <c r="N32" s="12" t="inlineStr">
        <is>
          <t>Authenticated user; active property; view permission for Property &amp; Rooms; Administration data available.</t>
        </is>
      </c>
      <c r="O32" s="12" t="inlineStr">
        <is>
          <t>Given I am authenticated as Property Admin with access to the selected property, when I open Amenities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2" s="12" t="inlineStr">
        <is>
          <t>Cross-property data never appears; unauthorized fields are masked; invalid filters do not break the screen; unavailable services return a controlled message.</t>
        </is>
      </c>
      <c r="Q32" s="12" t="inlineStr">
        <is>
          <t>Tenant/property scope; required fields; optimistic locking; timezone-safe dates; reason mandatory for overrides; valid status transition; linked-record integrity</t>
        </is>
      </c>
      <c r="R32" s="12" t="inlineStr">
        <is>
          <t>Administration</t>
        </is>
      </c>
      <c r="S32" s="12" t="inlineStr">
        <is>
          <t>GET, POST, PUT/PATCH, DELETE /api/v1/amenities-management; lookup, validation and audit endpoints; idempotency for financial/booking writes; entities: properties, buildings, floors, room_types, rooms, amenities</t>
        </is>
      </c>
      <c r="T32" s="12" t="inlineStr">
        <is>
          <t>Must Have</t>
        </is>
      </c>
      <c r="U32" s="12" t="inlineStr">
        <is>
          <t>MVP</t>
        </is>
      </c>
      <c r="V32" s="34" t="n">
        <v>3</v>
      </c>
      <c r="W32" s="12" t="inlineStr">
        <is>
          <t>S01-S02</t>
        </is>
      </c>
      <c r="X32" s="12" t="inlineStr">
        <is>
          <t>Done</t>
        </is>
      </c>
      <c r="Y32" s="13" t="n">
        <v>1</v>
      </c>
      <c r="Z32" s="12" t="n"/>
      <c r="AA32" s="12" t="inlineStr">
        <is>
          <t>TC-062-A</t>
        </is>
      </c>
      <c r="AB32" s="12" t="inlineStr">
        <is>
          <t>Approved screen design; story reviewed with Property Admin; dependencies, API contract, role permissions and test data identified.</t>
        </is>
      </c>
      <c r="AC32" s="12" t="inlineStr">
        <is>
          <t>Code reviewed; unit, API, UI, RBAC and integration tests pass; accessibility and responsive states verified; audit evidence captured; product owner accepts in staging.</t>
        </is>
      </c>
      <c r="AD32" s="12" t="inlineStr">
        <is>
          <t>Amenities Management (mockup 062) rebuilt as a real screen at /property/amenities (also a tab on Rooms). 4 KPI cards from GET /amenities/stats (total / guest visible / active / inactive); category tabs with live counts using the mockup's own vocabulary (In-Room, Bathroom, Technology, Food &amp; Beverage, Recreation, Safety &amp; Security - migrated from the invented general/comfort/kitchen/outdoor set); search + Status + Guest Visible filters + Reset; table with name, code, category, inline Guest Visible toggle, Assigned Room Types, status; server-side pagination 10/page. RBAC rooms.view. Verified 14 amenities, tab counts, toggle updates KPI live.</t>
        </is>
      </c>
    </row>
    <row r="33" ht="78" customHeight="1" s="43">
      <c r="A33" s="11" t="n">
        <v>1</v>
      </c>
      <c r="B33" s="11" t="n">
        <v>29</v>
      </c>
      <c r="C33" s="12" t="inlineStr">
        <is>
          <t>US-062-02</t>
        </is>
      </c>
      <c r="D33" s="12" t="inlineStr">
        <is>
          <t>Complete the primary Amenities Management workflow</t>
        </is>
      </c>
      <c r="E33" s="12" t="inlineStr">
        <is>
          <t>EPIC-05</t>
        </is>
      </c>
      <c r="F33" s="12" t="inlineStr">
        <is>
          <t>Property &amp; Rooms</t>
        </is>
      </c>
      <c r="G33" s="12" t="inlineStr">
        <is>
          <t>Amenities Master</t>
        </is>
      </c>
      <c r="H33" s="11" t="inlineStr">
        <is>
          <t>SCR-062</t>
        </is>
      </c>
      <c r="I33" s="12" t="inlineStr">
        <is>
          <t>Amenities Management</t>
        </is>
      </c>
      <c r="J33" s="12" t="inlineStr">
        <is>
          <t>Primary Workflow</t>
        </is>
      </c>
      <c r="K33" s="12" t="inlineStr">
        <is>
          <t>Property Admin</t>
        </is>
      </c>
      <c r="L33" s="12" t="inlineStr">
        <is>
          <t>As a Property Admin, I want to list, view, create, edit, activate/deactivate, delete where safe in Amenities Management, so that the amenities master process is completed accurately without duplicate or inconsistent records.</t>
        </is>
      </c>
      <c r="M33" s="12" t="inlineStr">
        <is>
          <t>Enable property &amp; rooms users to manage amenities master through the Amenities Management workflow with real-time status, validations and traceability.</t>
        </is>
      </c>
      <c r="N33" s="12" t="inlineStr">
        <is>
          <t>View access confirmed; required masters and linked records exist; Administration services are available; approval limit is valid.</t>
        </is>
      </c>
      <c r="O3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amenities management workflow; invalid or conflicting actions are blocked with clear messages; saved changes appear in related screens; sensitive changes are auditable.</t>
        </is>
      </c>
      <c r="P33" s="12" t="inlineStr">
        <is>
          <t>Duplicate submission is idempotent; stale data returns a refresh/conflict message; invalid status transitions are blocked; partial failure rolls back without orphan records.</t>
        </is>
      </c>
      <c r="Q33" s="12" t="inlineStr">
        <is>
          <t>Tenant/property scope; required fields; optimistic locking; timezone-safe dates; reason mandatory for overrides; valid status transition; linked-record integrity</t>
        </is>
      </c>
      <c r="R33" s="12" t="inlineStr">
        <is>
          <t>Administration</t>
        </is>
      </c>
      <c r="S33" s="12" t="inlineStr">
        <is>
          <t>GET, POST, PUT/PATCH, DELETE /api/v1/amenities-management; lookup, validation and audit endpoints; idempotency for financial/booking writes; entities: properties, buildings, floors, room_types, rooms, amenities</t>
        </is>
      </c>
      <c r="T33" s="12" t="inlineStr">
        <is>
          <t>Must Have</t>
        </is>
      </c>
      <c r="U33" s="12" t="inlineStr">
        <is>
          <t>MVP</t>
        </is>
      </c>
      <c r="V33" s="34" t="n">
        <v>5</v>
      </c>
      <c r="W33" s="12" t="inlineStr">
        <is>
          <t>S01-S02</t>
        </is>
      </c>
      <c r="X33" s="12" t="inlineStr">
        <is>
          <t>Done</t>
        </is>
      </c>
      <c r="Y33" s="13" t="n">
        <v>1</v>
      </c>
      <c r="Z33" s="12" t="n"/>
      <c r="AA33" s="12" t="inlineStr">
        <is>
          <t>TC-062-B</t>
        </is>
      </c>
      <c r="AB33" s="12" t="inlineStr">
        <is>
          <t>Approved screen design; story reviewed with Property Admin; dependencies, API contract, role permissions and test data identified.</t>
        </is>
      </c>
      <c r="AC33" s="12" t="inlineStr">
        <is>
          <t>Code reviewed; unit, API, UI, RBAC and integration tests pass; accessibility and responsive states verified; audit evidence captured; product owner accepts in staging.</t>
        </is>
      </c>
      <c r="AD33" s="12" t="inlineStr">
        <is>
          <t>Add/Edit Amenity panel matches the mockup: name, unique code with hint, Category, Icon, 'Visible to Guests' with explanation, Assign to Room Types chip multi-select, Status radio, Chargeable, Description with 300-char counter, Audit Information, Cancel/Save Amenity, and Other Actions - Merge Duplicate and Deactivate/Activate. Merge moves room and room-type assignments onto the survivor (skipping ones it already has) and retires the duplicate, all in one transaction. Verified merge moved the assignment and set the duplicate inactive.</t>
        </is>
      </c>
    </row>
    <row r="34" ht="78" customHeight="1" s="43">
      <c r="A34" s="11" t="n">
        <v>1</v>
      </c>
      <c r="B34" s="11" t="n">
        <v>30</v>
      </c>
      <c r="C34" s="12" t="inlineStr">
        <is>
          <t>US-062-03</t>
        </is>
      </c>
      <c r="D34" s="12" t="inlineStr">
        <is>
          <t>Control permissions, overrides and audit for Amenities Management</t>
        </is>
      </c>
      <c r="E34" s="12" t="inlineStr">
        <is>
          <t>EPIC-05</t>
        </is>
      </c>
      <c r="F34" s="12" t="inlineStr">
        <is>
          <t>Property &amp; Rooms</t>
        </is>
      </c>
      <c r="G34" s="12" t="inlineStr">
        <is>
          <t>Amenities Master</t>
        </is>
      </c>
      <c r="H34" s="11" t="inlineStr">
        <is>
          <t>SCR-062</t>
        </is>
      </c>
      <c r="I34" s="12" t="inlineStr">
        <is>
          <t>Amenities Management</t>
        </is>
      </c>
      <c r="J34" s="12" t="inlineStr">
        <is>
          <t>Security / Exceptions</t>
        </is>
      </c>
      <c r="K34" s="12" t="inlineStr">
        <is>
          <t>Property Admin</t>
        </is>
      </c>
      <c r="L34" s="12" t="inlineStr">
        <is>
          <t>As a department supervisor or auditor, I want sensitive actions in Amenities Management to follow permissions, approval limits and audit rules, so that resort operations remain secure, compliant and traceable.</t>
        </is>
      </c>
      <c r="M34" s="12" t="inlineStr">
        <is>
          <t>Reduces fraud, privacy leakage, unauthorized overrides and unresolved operational disputes.</t>
        </is>
      </c>
      <c r="N34" s="12" t="inlineStr">
        <is>
          <t>Roles, permissions, approval hierarchy and audit service are configured; allowed and denied test users exist.</t>
        </is>
      </c>
      <c r="O3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4" s="12" t="inlineStr">
        <is>
          <t>Tampered IDs, expired sessions, approval-limit violations and cross-tenant requests are rejected; secrets and sensitive guest/payment fields are never written to logs.</t>
        </is>
      </c>
      <c r="Q34" s="12" t="inlineStr">
        <is>
          <t>Tenant/property scope; required fields; optimistic locking; timezone-safe dates; reason mandatory for overrides; valid status transition; linked-record integrity</t>
        </is>
      </c>
      <c r="R34" s="12" t="inlineStr">
        <is>
          <t>Administration</t>
        </is>
      </c>
      <c r="S34" s="12" t="inlineStr">
        <is>
          <t>GET, POST, PUT/PATCH, DELETE /api/v1/amenities-management; lookup, validation and audit endpoints; idempotency for financial/booking writes; entities: properties, buildings, floors, room_types, rooms, amenities</t>
        </is>
      </c>
      <c r="T34" s="12" t="inlineStr">
        <is>
          <t>Must Have</t>
        </is>
      </c>
      <c r="U34" s="12" t="inlineStr">
        <is>
          <t>MVP</t>
        </is>
      </c>
      <c r="V34" s="34" t="n">
        <v>3</v>
      </c>
      <c r="W34" s="12" t="inlineStr">
        <is>
          <t>S01-S02</t>
        </is>
      </c>
      <c r="X34" s="12" t="inlineStr">
        <is>
          <t>Done</t>
        </is>
      </c>
      <c r="Y34" s="13" t="n">
        <v>1</v>
      </c>
      <c r="Z34" s="12" t="n"/>
      <c r="AA34" s="12" t="inlineStr">
        <is>
          <t>TC-062-C</t>
        </is>
      </c>
      <c r="AB34" s="12" t="inlineStr">
        <is>
          <t>Approved screen design; story reviewed with Property Admin; dependencies, API contract, role permissions and test data identified.</t>
        </is>
      </c>
      <c r="AC34" s="12" t="inlineStr">
        <is>
          <t>Code reviewed; unit, API, UI, RBAC and integration tests pass; accessibility and responsive states verified; audit evidence captured; product owner accepts in staging.</t>
        </is>
      </c>
      <c r="AD34" s="12" t="inlineStr">
        <is>
          <t>Security/exceptions: RBAC rooms.view / rooms.configure deny-by-default (401/403); cross-tenant -&gt; 403; duplicate code -&gt; 409; stale version -&gt; 409; invalid category -&gt; 422; merging an amenity into itself -&gt; 422; merge target must exist in the same property -&gt; 404; append-only audit amenity.create/update/merge with before/after. Verified 422 self-merge, 422 bad category, 403 cross-tenant, 401 unauthenticated.</t>
        </is>
      </c>
    </row>
    <row r="35" ht="78" customHeight="1" s="43">
      <c r="A35" s="11" t="n">
        <v>1</v>
      </c>
      <c r="B35" s="11" t="n">
        <v>31</v>
      </c>
      <c r="C35" s="12" t="inlineStr">
        <is>
          <t>US-063-01</t>
        </is>
      </c>
      <c r="D35" s="12" t="inlineStr">
        <is>
          <t>View and find information in Room Block and Out of Order</t>
        </is>
      </c>
      <c r="E35" s="12" t="inlineStr">
        <is>
          <t>EPIC-05</t>
        </is>
      </c>
      <c r="F35" s="12" t="inlineStr">
        <is>
          <t>Property &amp; Rooms</t>
        </is>
      </c>
      <c r="G35" s="12" t="inlineStr">
        <is>
          <t>Availability Control</t>
        </is>
      </c>
      <c r="H35" s="11" t="inlineStr">
        <is>
          <t>SCR-063</t>
        </is>
      </c>
      <c r="I35" s="12" t="inlineStr">
        <is>
          <t>Room Block and Out of Order</t>
        </is>
      </c>
      <c r="J35" s="12" t="inlineStr">
        <is>
          <t>View / Search</t>
        </is>
      </c>
      <c r="K35" s="12" t="inlineStr">
        <is>
          <t>Property Admin</t>
        </is>
      </c>
      <c r="L35" s="12" t="inlineStr">
        <is>
          <t>As a Property Admin, I want to open Room Block and Out of Order and find relevant records using search, filters and sorting, so that I can make accurate operational decisions.</t>
        </is>
      </c>
      <c r="M35" s="12" t="inlineStr">
        <is>
          <t>Provides timely visibility for availability control and reduces manual lookup effort.</t>
        </is>
      </c>
      <c r="N35" s="12" t="inlineStr">
        <is>
          <t>Authenticated user; active property; view permission for Property &amp; Rooms; Administration data available.</t>
        </is>
      </c>
      <c r="O35" s="12" t="inlineStr">
        <is>
          <t>Given I am authenticated as Property Admin with access to the selected property, when I open Room Block and Out of Order,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5" s="12" t="inlineStr">
        <is>
          <t>Cross-property data never appears; unauthorized fields are masked; invalid filters do not break the screen; unavailable services return a controlled message.</t>
        </is>
      </c>
      <c r="Q35" s="12" t="inlineStr">
        <is>
          <t>Tenant/property scope; required fields; optimistic locking; timezone-safe dates; reason mandatory for overrides; valid status transition; linked-record integrity</t>
        </is>
      </c>
      <c r="R35" s="12" t="inlineStr">
        <is>
          <t>Administration</t>
        </is>
      </c>
      <c r="S35" s="12" t="inlineStr">
        <is>
          <t>GET, POST, PUT/PATCH, DELETE /api/v1/room-block-and-out-of-order; lookup, validation and audit endpoints; idempotency for financial/booking writes; entities: properties, buildings, floors, room_types, rooms, amenities</t>
        </is>
      </c>
      <c r="T35" s="12" t="inlineStr">
        <is>
          <t>Must Have</t>
        </is>
      </c>
      <c r="U35" s="12" t="inlineStr">
        <is>
          <t>MVP</t>
        </is>
      </c>
      <c r="V35" s="34" t="n">
        <v>3</v>
      </c>
      <c r="W35" s="12" t="inlineStr">
        <is>
          <t>S01-S02</t>
        </is>
      </c>
      <c r="X35" s="12" t="inlineStr">
        <is>
          <t>Done</t>
        </is>
      </c>
      <c r="Y35" s="13" t="n">
        <v>1</v>
      </c>
      <c r="Z35" s="12" t="n"/>
      <c r="AA35" s="12" t="inlineStr">
        <is>
          <t>TC-063-A</t>
        </is>
      </c>
      <c r="AB35" s="12" t="inlineStr">
        <is>
          <t>Approved screen design; story reviewed with Property Admin; dependencies, API contract, role permissions and test data identified.</t>
        </is>
      </c>
      <c r="AC35" s="12" t="inlineStr">
        <is>
          <t>Code reviewed; unit, API, UI, RBAC and integration tests pass; accessibility and responsive states verified; audit evidence captured; product owner accepts in staging.</t>
        </is>
      </c>
      <c r="AD35" s="12" t="inlineStr">
        <is>
          <t>Room Block and Out of Order (mockup 063) at /rooms/blocks and as the Rooms &gt; Blocks tab. 4 KPI cards from GET /room-blocks/stats (Currently Blocked, Out of Order, Due to End Today, Total Rooms Unavailable). Calendar View renders month bars colour-coded Blocked / Out of Order / Maintenance with 'rooms | reason' labels; List View is the mockup's 'Active Blocks and Out of Order Rooms' table. Filters: Room Type, Status, search by room/reason/reference. Multi-room blocks are grouped so '101 - 104' reads as one line. RBAC rooms.view. Verified live.</t>
        </is>
      </c>
    </row>
    <row r="36" ht="78" customHeight="1" s="43">
      <c r="A36" s="11" t="n">
        <v>1</v>
      </c>
      <c r="B36" s="11" t="n">
        <v>32</v>
      </c>
      <c r="C36" s="12" t="inlineStr">
        <is>
          <t>US-063-02</t>
        </is>
      </c>
      <c r="D36" s="12" t="inlineStr">
        <is>
          <t>Complete the primary Room Block and Out of Order workflow</t>
        </is>
      </c>
      <c r="E36" s="12" t="inlineStr">
        <is>
          <t>EPIC-05</t>
        </is>
      </c>
      <c r="F36" s="12" t="inlineStr">
        <is>
          <t>Property &amp; Rooms</t>
        </is>
      </c>
      <c r="G36" s="12" t="inlineStr">
        <is>
          <t>Availability Control</t>
        </is>
      </c>
      <c r="H36" s="11" t="inlineStr">
        <is>
          <t>SCR-063</t>
        </is>
      </c>
      <c r="I36" s="12" t="inlineStr">
        <is>
          <t>Room Block and Out of Order</t>
        </is>
      </c>
      <c r="J36" s="12" t="inlineStr">
        <is>
          <t>Primary Workflow</t>
        </is>
      </c>
      <c r="K36" s="12" t="inlineStr">
        <is>
          <t>Property Admin</t>
        </is>
      </c>
      <c r="L36" s="12" t="inlineStr">
        <is>
          <t>As a Property Admin, I want to list, search, filter, view, create, edit, cancel/delete under policy, export in Room Block and Out of Order, so that the availability control process is completed accurately without duplicate or inconsistent records.</t>
        </is>
      </c>
      <c r="M36" s="12" t="inlineStr">
        <is>
          <t>Enable property &amp; rooms users to manage availability control through the Room Block and Out of Order workflow with real-time status, validations and traceability.</t>
        </is>
      </c>
      <c r="N36" s="12" t="inlineStr">
        <is>
          <t>View access confirmed; required masters and linked records exist; Administration services are available; approval limit is valid.</t>
        </is>
      </c>
      <c r="O3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room block and out of order workflow; invalid or conflicting actions are blocked with clear messages; saved changes appear in related screens; sensitive changes are auditable.</t>
        </is>
      </c>
      <c r="P36" s="12" t="inlineStr">
        <is>
          <t>Duplicate submission is idempotent; stale data returns a refresh/conflict message; invalid status transitions are blocked; partial failure rolls back without orphan records.</t>
        </is>
      </c>
      <c r="Q36" s="12" t="inlineStr">
        <is>
          <t>Tenant/property scope; required fields; optimistic locking; timezone-safe dates; reason mandatory for overrides; valid status transition; linked-record integrity</t>
        </is>
      </c>
      <c r="R36" s="12" t="inlineStr">
        <is>
          <t>Administration</t>
        </is>
      </c>
      <c r="S36" s="12" t="inlineStr">
        <is>
          <t>GET, POST, PUT/PATCH, DELETE /api/v1/room-block-and-out-of-order; lookup, validation and audit endpoints; idempotency for financial/booking writes; entities: properties, buildings, floors, room_types, rooms, amenities</t>
        </is>
      </c>
      <c r="T36" s="12" t="inlineStr">
        <is>
          <t>Must Have</t>
        </is>
      </c>
      <c r="U36" s="12" t="inlineStr">
        <is>
          <t>MVP</t>
        </is>
      </c>
      <c r="V36" s="34" t="n">
        <v>5</v>
      </c>
      <c r="W36" s="12" t="inlineStr">
        <is>
          <t>S01-S02</t>
        </is>
      </c>
      <c r="X36" s="12" t="inlineStr">
        <is>
          <t>Done</t>
        </is>
      </c>
      <c r="Y36" s="13" t="n">
        <v>1</v>
      </c>
      <c r="Z36" s="12" t="n"/>
      <c r="AA36" s="12" t="inlineStr">
        <is>
          <t>TC-063-B</t>
        </is>
      </c>
      <c r="AB36" s="12" t="inlineStr">
        <is>
          <t>Approved screen design; story reviewed with Property Admin; dependencies, API contract, role permissions and test data identified.</t>
        </is>
      </c>
      <c r="AC36" s="12" t="inlineStr">
        <is>
          <t>Code reviewed; unit, API, UI, RBAC and integration tests pass; accessibility and responsive states verified; audit evidence captured; product owner accepts in staging.</t>
        </is>
      </c>
      <c r="AD36" s="12" t="inlineStr">
        <is>
          <t>Create Block panel matches the mockup: Block Type radio (Room Block / Out of Order), Select Rooms chips with 'N room(s) selected', Reason Category, Reason with 500-char counter, Start/End dates, Severity, Link to Maintenance, and the Inventory Impact notice. Actions: Create Block, Clear, End Early and Cancel per block. Verified through the UI: 'Blocked 4 room(s)' and the grouped row '101 - 104 | Room Block | Maintenance - Scheduled | active' with End Early / Cancel.</t>
        </is>
      </c>
    </row>
    <row r="37" ht="78" customHeight="1" s="43">
      <c r="A37" s="11" t="n">
        <v>1</v>
      </c>
      <c r="B37" s="11" t="n">
        <v>33</v>
      </c>
      <c r="C37" s="12" t="inlineStr">
        <is>
          <t>US-063-03</t>
        </is>
      </c>
      <c r="D37" s="12" t="inlineStr">
        <is>
          <t>Control permissions, overrides and audit for Room Block and Out of Order</t>
        </is>
      </c>
      <c r="E37" s="12" t="inlineStr">
        <is>
          <t>EPIC-05</t>
        </is>
      </c>
      <c r="F37" s="12" t="inlineStr">
        <is>
          <t>Property &amp; Rooms</t>
        </is>
      </c>
      <c r="G37" s="12" t="inlineStr">
        <is>
          <t>Availability Control</t>
        </is>
      </c>
      <c r="H37" s="11" t="inlineStr">
        <is>
          <t>SCR-063</t>
        </is>
      </c>
      <c r="I37" s="12" t="inlineStr">
        <is>
          <t>Room Block and Out of Order</t>
        </is>
      </c>
      <c r="J37" s="12" t="inlineStr">
        <is>
          <t>Security / Exceptions</t>
        </is>
      </c>
      <c r="K37" s="12" t="inlineStr">
        <is>
          <t>Property Admin</t>
        </is>
      </c>
      <c r="L37" s="12" t="inlineStr">
        <is>
          <t>As a department supervisor or auditor, I want sensitive actions in Room Block and Out of Order to follow permissions, approval limits and audit rules, so that resort operations remain secure, compliant and traceable.</t>
        </is>
      </c>
      <c r="M37" s="12" t="inlineStr">
        <is>
          <t>Reduces fraud, privacy leakage, unauthorized overrides and unresolved operational disputes.</t>
        </is>
      </c>
      <c r="N37" s="12" t="inlineStr">
        <is>
          <t>Roles, permissions, approval hierarchy and audit service are configured; allowed and denied test users exist.</t>
        </is>
      </c>
      <c r="O3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7" s="12" t="inlineStr">
        <is>
          <t>Tampered IDs, expired sessions, approval-limit violations and cross-tenant requests are rejected; secrets and sensitive guest/payment fields are never written to logs.</t>
        </is>
      </c>
      <c r="Q37" s="12" t="inlineStr">
        <is>
          <t>Tenant/property scope; required fields; optimistic locking; timezone-safe dates; reason mandatory for overrides; valid status transition; linked-record integrity</t>
        </is>
      </c>
      <c r="R37" s="12" t="inlineStr">
        <is>
          <t>Administration</t>
        </is>
      </c>
      <c r="S37" s="12" t="inlineStr">
        <is>
          <t>GET, POST, PUT/PATCH, DELETE /api/v1/room-block-and-out-of-order; lookup, validation and audit endpoints; idempotency for financial/booking writes; entities: properties, buildings, floors, room_types, rooms, amenities</t>
        </is>
      </c>
      <c r="T37" s="12" t="inlineStr">
        <is>
          <t>Must Have</t>
        </is>
      </c>
      <c r="U37" s="12" t="inlineStr">
        <is>
          <t>MVP</t>
        </is>
      </c>
      <c r="V37" s="34" t="n">
        <v>3</v>
      </c>
      <c r="W37" s="12" t="inlineStr">
        <is>
          <t>S01-S02</t>
        </is>
      </c>
      <c r="X37" s="12" t="inlineStr">
        <is>
          <t>Done</t>
        </is>
      </c>
      <c r="Y37" s="13" t="n">
        <v>1</v>
      </c>
      <c r="Z37" s="12" t="n"/>
      <c r="AA37" s="12" t="inlineStr">
        <is>
          <t>TC-063-C</t>
        </is>
      </c>
      <c r="AB37" s="12" t="inlineStr">
        <is>
          <t>Approved screen design; story reviewed with Property Admin; dependencies, API contract, role permissions and test data identified.</t>
        </is>
      </c>
      <c r="AC37" s="12" t="inlineStr">
        <is>
          <t>Code reviewed; unit, API, UI, RBAC and integration tests pass; accessibility and responsive states verified; audit evidence captured; product owner accepts in staging.</t>
        </is>
      </c>
      <c r="AD37" s="12" t="inlineStr">
        <is>
          <t>KEY INVARIANT: a block cannot overlap a reservation or another block on the same room. This is NOT reimplemented - creating a block inserts a booking.room_calendar_entries row of kind 'maintenance', so the existing GiST exclusion constraint (schema 4) is the arbiter for both reservations and blocks. Multi-room requests are partially successful by design: free rooms block, clashing rooms return per-room conflicts. VERIFIED: (a) block over an existing block -&gt; refused per room; (b) block over a live assigned reservation -&gt; refused; (c) non-overlapping dates on the same room -&gt; allowed; (d) End Early releases the calendar so the freed dates become blockable again. Security: RBAC rooms.view/rooms.edit deny-by-default (401/403), cross-tenant -&gt; 403, end date before start -&gt; 422, invalid block_type/severity/category -&gt; 422, stale version -&gt; 409. Append-only audit room_block.create/end/cancel/update.</t>
        </is>
      </c>
    </row>
    <row r="38" ht="78" customHeight="1" s="43">
      <c r="A38" s="11" t="n">
        <v>1</v>
      </c>
      <c r="B38" s="11" t="n">
        <v>34</v>
      </c>
      <c r="C38" s="12" t="inlineStr">
        <is>
          <t>US-064-01</t>
        </is>
      </c>
      <c r="D38" s="12" t="inlineStr">
        <is>
          <t>View and find information in Room Status History</t>
        </is>
      </c>
      <c r="E38" s="12" t="inlineStr">
        <is>
          <t>EPIC-05</t>
        </is>
      </c>
      <c r="F38" s="12" t="inlineStr">
        <is>
          <t>Property &amp; Rooms</t>
        </is>
      </c>
      <c r="G38" s="12" t="inlineStr">
        <is>
          <t>Status Audit</t>
        </is>
      </c>
      <c r="H38" s="11" t="inlineStr">
        <is>
          <t>SCR-064</t>
        </is>
      </c>
      <c r="I38" s="12" t="inlineStr">
        <is>
          <t>Room Status History</t>
        </is>
      </c>
      <c r="J38" s="12" t="inlineStr">
        <is>
          <t>View / Search</t>
        </is>
      </c>
      <c r="K38" s="12" t="inlineStr">
        <is>
          <t>Property Admin</t>
        </is>
      </c>
      <c r="L38" s="12" t="inlineStr">
        <is>
          <t>As a Property Admin, I want to open Room Status History and find relevant records using search, filters and sorting, so that I can make accurate operational decisions.</t>
        </is>
      </c>
      <c r="M38" s="12" t="inlineStr">
        <is>
          <t>Provides timely visibility for status audit and reduces manual lookup effort.</t>
        </is>
      </c>
      <c r="N38" s="12" t="inlineStr">
        <is>
          <t>Authenticated user; active property; view permission for Property &amp; Rooms; Administration data available.</t>
        </is>
      </c>
      <c r="O38" s="12" t="inlineStr">
        <is>
          <t>Given I am authenticated as Property Admin with access to the selected property, when I open Room Status History,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8" s="12" t="inlineStr">
        <is>
          <t>Cross-property data never appears; unauthorized fields are masked; invalid filters do not break the screen; unavailable services return a controlled message.</t>
        </is>
      </c>
      <c r="Q38" s="12" t="inlineStr">
        <is>
          <t>Tenant/property scope; required fields; optimistic locking; timezone-safe dates; reason mandatory for overrides; valid status transition; linked-record integrity</t>
        </is>
      </c>
      <c r="R38" s="12" t="inlineStr">
        <is>
          <t>Administration</t>
        </is>
      </c>
      <c r="S38" s="12" t="inlineStr">
        <is>
          <t>GET, POST/PATCH /api/v1/room-status-history; lookup, validation and audit endpoints; idempotency for financial/booking writes; entities: properties, buildings, floors, room_types, rooms, amenities</t>
        </is>
      </c>
      <c r="T38" s="12" t="inlineStr">
        <is>
          <t>Must Have</t>
        </is>
      </c>
      <c r="U38" s="12" t="inlineStr">
        <is>
          <t>MVP</t>
        </is>
      </c>
      <c r="V38" s="34" t="n">
        <v>3</v>
      </c>
      <c r="W38" s="12" t="inlineStr">
        <is>
          <t>S01-S02</t>
        </is>
      </c>
      <c r="X38" s="12" t="inlineStr">
        <is>
          <t>Done</t>
        </is>
      </c>
      <c r="Y38" s="13">
        <f>IF(X38="Done",1,IF(X38="QA",0.9,IF(X38="Code Review",0.75,IF(X38="In Development",0.5,IF(X38="Ready",0.1,0)))))</f>
        <v/>
      </c>
      <c r="Z38" s="12" t="n"/>
      <c r="AA38" s="12" t="inlineStr">
        <is>
          <t>TC-064-A</t>
        </is>
      </c>
      <c r="AB38" s="12" t="inlineStr">
        <is>
          <t>Approved screen design; story reviewed with Property Admin; dependencies, API contract, role permissions and test data identified.</t>
        </is>
      </c>
      <c r="AC38" s="12" t="inlineStr">
        <is>
          <t>Code reviewed; unit, API, UI, RBAC and integration tests pass; accessibility and responsive states verified; audit evidence captured; product owner accepts in staging.</t>
        </is>
      </c>
      <c r="AD38" s="12" t="inlineStr">
        <is>
          <t>Room Status History (mockup 064) at /rooms/:roomId/history, reached from the History action on a room card and the Status History button on the Room editor (059). GET /rooms/{id}/status-history returns the timeline newest first with Changed By name + role (resolved through memberships -&gt; role_assignments -&gt; roles) and a human Source label. Filters verified live against room 106: From/To (end date inclusive of the whole day), Status, Source and User, plus Clear/Apply. Record count badge and CSV Export follow the filtered set. GET /rooms/{id}/status-summary drives the right rail: thumbnail card, Current Status with Since + elapsed duration, Current Guest, Reservation, Linked Records and Audit Information. RBAC rooms.view.</t>
        </is>
      </c>
    </row>
    <row r="39" ht="78" customHeight="1" s="43">
      <c r="A39" s="11" t="n">
        <v>1</v>
      </c>
      <c r="B39" s="11" t="n">
        <v>35</v>
      </c>
      <c r="C39" s="12" t="inlineStr">
        <is>
          <t>US-064-02</t>
        </is>
      </c>
      <c r="D39" s="12" t="inlineStr">
        <is>
          <t>Complete the primary Room Status History workflow</t>
        </is>
      </c>
      <c r="E39" s="12" t="inlineStr">
        <is>
          <t>EPIC-05</t>
        </is>
      </c>
      <c r="F39" s="12" t="inlineStr">
        <is>
          <t>Property &amp; Rooms</t>
        </is>
      </c>
      <c r="G39" s="12" t="inlineStr">
        <is>
          <t>Status Audit</t>
        </is>
      </c>
      <c r="H39" s="11" t="inlineStr">
        <is>
          <t>SCR-064</t>
        </is>
      </c>
      <c r="I39" s="12" t="inlineStr">
        <is>
          <t>Room Status History</t>
        </is>
      </c>
      <c r="J39" s="12" t="inlineStr">
        <is>
          <t>Primary Workflow</t>
        </is>
      </c>
      <c r="K39" s="12" t="inlineStr">
        <is>
          <t>Property Admin</t>
        </is>
      </c>
      <c r="L39" s="12" t="inlineStr">
        <is>
          <t>As a Property Admin, I want to view, filter, search, drill down, export, refresh in Room Status History, so that the status audit process is completed accurately without duplicate or inconsistent records.</t>
        </is>
      </c>
      <c r="M39" s="12" t="inlineStr">
        <is>
          <t>Enable property &amp; rooms users to manage status audit through the Room Status History workflow with real-time status, validations and traceability.</t>
        </is>
      </c>
      <c r="N39" s="12" t="inlineStr">
        <is>
          <t>View access confirmed; required masters and linked records exist; Administration services are available; approval limit is valid.</t>
        </is>
      </c>
      <c r="O3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room status history workflow; invalid or conflicting actions are blocked with clear messages; saved changes appear in related screens; sensitive changes are auditable.</t>
        </is>
      </c>
      <c r="P39" s="12" t="inlineStr">
        <is>
          <t>Duplicate submission is idempotent; stale data returns a refresh/conflict message; invalid status transitions are blocked; partial failure rolls back without orphan records.</t>
        </is>
      </c>
      <c r="Q39" s="12" t="inlineStr">
        <is>
          <t>Tenant/property scope; required fields; optimistic locking; timezone-safe dates; reason mandatory for overrides; valid status transition; linked-record integrity</t>
        </is>
      </c>
      <c r="R39" s="12" t="inlineStr">
        <is>
          <t>Administration</t>
        </is>
      </c>
      <c r="S39" s="12" t="inlineStr">
        <is>
          <t>GET, POST/PATCH /api/v1/room-status-history; lookup, validation and audit endpoints; idempotency for financial/booking writes; entities: properties, buildings, floors, room_types, rooms, amenities</t>
        </is>
      </c>
      <c r="T39" s="12" t="inlineStr">
        <is>
          <t>Must Have</t>
        </is>
      </c>
      <c r="U39" s="12" t="inlineStr">
        <is>
          <t>MVP</t>
        </is>
      </c>
      <c r="V39" s="34" t="n">
        <v>5</v>
      </c>
      <c r="W39" s="12" t="inlineStr">
        <is>
          <t>S01-S02</t>
        </is>
      </c>
      <c r="X39" s="12" t="inlineStr">
        <is>
          <t>Done</t>
        </is>
      </c>
      <c r="Y39" s="13">
        <f>IF(X39="Done",1,IF(X39="QA",0.9,IF(X39="Code Review",0.75,IF(X39="In Development",0.5,IF(X39="Ready",0.1,0)))))</f>
        <v/>
      </c>
      <c r="Z39" s="12" t="n"/>
      <c r="AA39" s="12" t="inlineStr">
        <is>
          <t>TC-064-B</t>
        </is>
      </c>
      <c r="AB39" s="12" t="inlineStr">
        <is>
          <t>Approved screen design; story reviewed with Property Admin; dependencies, API contract, role permissions and test data identified.</t>
        </is>
      </c>
      <c r="AC39" s="12" t="inlineStr">
        <is>
          <t>Code reviewed; unit, API, UI, RBAC and integration tests pass; accessibility and responsive states verified; audit evidence captured; product owner accepts in staging.</t>
        </is>
      </c>
      <c r="AD39" s="12" t="inlineStr">
        <is>
          <t>New table operations.room_status_events (migration 0009) is the append-only log; there is no update or delete endpoint, because on this screen a correction is a new event, not an edit. Events are written by the paths that actually change a room's state, in the same transaction as the change: block create/end/cancel (blocks_routes), room create and any status / service_status change (rooms_routes), and check-in / check-out (flow.py, carrying the reservation number as the source reference). Existing history was backfilled from booking.room_blocks and operations.room_condition and is marked source='system' so it is honestly distinguishable from live capture. 'Since' walks back the run of consecutive events sharing the current status, so it reads as the start of the current spell. VERIFIED live: a correction through the dialog appended a Clean / Housekeeping / Kishore Admin row; creating an Out of Order block appended 'Out of Order / Room Block' with reference MM260921-017; ending it appended 'Available / Room Block'.</t>
        </is>
      </c>
    </row>
    <row r="40" ht="78" customHeight="1" s="43">
      <c r="A40" s="11" t="n">
        <v>1</v>
      </c>
      <c r="B40" s="11" t="n">
        <v>36</v>
      </c>
      <c r="C40" s="12" t="inlineStr">
        <is>
          <t>US-064-03</t>
        </is>
      </c>
      <c r="D40" s="12" t="inlineStr">
        <is>
          <t>Control permissions, overrides and audit for Room Status History</t>
        </is>
      </c>
      <c r="E40" s="12" t="inlineStr">
        <is>
          <t>EPIC-05</t>
        </is>
      </c>
      <c r="F40" s="12" t="inlineStr">
        <is>
          <t>Property &amp; Rooms</t>
        </is>
      </c>
      <c r="G40" s="12" t="inlineStr">
        <is>
          <t>Status Audit</t>
        </is>
      </c>
      <c r="H40" s="11" t="inlineStr">
        <is>
          <t>SCR-064</t>
        </is>
      </c>
      <c r="I40" s="12" t="inlineStr">
        <is>
          <t>Room Status History</t>
        </is>
      </c>
      <c r="J40" s="12" t="inlineStr">
        <is>
          <t>Security / Exceptions</t>
        </is>
      </c>
      <c r="K40" s="12" t="inlineStr">
        <is>
          <t>Property Admin</t>
        </is>
      </c>
      <c r="L40" s="12" t="inlineStr">
        <is>
          <t>As a department supervisor or auditor, I want sensitive actions in Room Status History to follow permissions, approval limits and audit rules, so that resort operations remain secure, compliant and traceable.</t>
        </is>
      </c>
      <c r="M40" s="12" t="inlineStr">
        <is>
          <t>Reduces fraud, privacy leakage, unauthorized overrides and unresolved operational disputes.</t>
        </is>
      </c>
      <c r="N40" s="12" t="inlineStr">
        <is>
          <t>Roles, permissions, approval hierarchy and audit service are configured; allowed and denied test users exist.</t>
        </is>
      </c>
      <c r="O4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40" s="12" t="inlineStr">
        <is>
          <t>Tampered IDs, expired sessions, approval-limit violations and cross-tenant requests are rejected; secrets and sensitive guest/payment fields are never written to logs.</t>
        </is>
      </c>
      <c r="Q40" s="12" t="inlineStr">
        <is>
          <t>Tenant/property scope; required fields; optimistic locking; timezone-safe dates; reason mandatory for overrides; valid status transition; linked-record integrity</t>
        </is>
      </c>
      <c r="R40" s="12" t="inlineStr">
        <is>
          <t>Administration</t>
        </is>
      </c>
      <c r="S40" s="12" t="inlineStr">
        <is>
          <t>GET, POST/PATCH /api/v1/room-status-history; lookup, validation and audit endpoints; idempotency for financial/booking writes; entities: properties, buildings, floors, room_types, rooms, amenities</t>
        </is>
      </c>
      <c r="T40" s="12" t="inlineStr">
        <is>
          <t>Must Have</t>
        </is>
      </c>
      <c r="U40" s="12" t="inlineStr">
        <is>
          <t>MVP</t>
        </is>
      </c>
      <c r="V40" s="34" t="n">
        <v>3</v>
      </c>
      <c r="W40" s="12" t="inlineStr">
        <is>
          <t>S01-S02</t>
        </is>
      </c>
      <c r="X40" s="12" t="inlineStr">
        <is>
          <t>Done</t>
        </is>
      </c>
      <c r="Y40" s="13">
        <f>IF(X40="Done",1,IF(X40="QA",0.9,IF(X40="Code Review",0.75,IF(X40="In Development",0.5,IF(X40="Ready",0.1,0)))))</f>
        <v/>
      </c>
      <c r="Z40" s="12" t="n"/>
      <c r="AA40" s="12" t="inlineStr">
        <is>
          <t>TC-064-C</t>
        </is>
      </c>
      <c r="AB40" s="12" t="inlineStr">
        <is>
          <t>Approved screen design; story reviewed with Property Admin; dependencies, API contract, role permissions and test data identified.</t>
        </is>
      </c>
      <c r="AC40" s="12" t="inlineStr">
        <is>
          <t>Code reviewed; unit, API, UI, RBAC and integration tests pass; accessibility and responsive states verified; audit evidence captured; product owner accepts in staging.</t>
        </is>
      </c>
      <c r="AD40" s="12" t="inlineStr">
        <is>
          <t>The screen is read-only by design and says so: the amber panel explains that a correction is appended rather than replacing what was recorded. The one write is POST /rooms/{id}/housekeeping-status (RBAC rooms.edit), which moves the room's current housekeeping state and records the resulting event attributed to the caller; the dialog offers only clean/dirty/cleaning/inspected and directs occupancy and out-of-order corrections to the reservation and the block, so the room calendar can never drift. Reads require rooms.view; both endpoints call assert_property_in_org, so a cross-tenant room is 403 and an unknown room is 404. Invalid housekeeping status -&gt; 422. Current status mirrors the Rooms grid precedence (block &gt; in-house &gt; inactive &gt; service status &gt; cleanliness) so the two screens can never disagree.</t>
        </is>
      </c>
    </row>
    <row r="41" ht="78" customHeight="1" s="43">
      <c r="A41" s="11" t="n">
        <v>1</v>
      </c>
      <c r="B41" s="11" t="n">
        <v>37</v>
      </c>
      <c r="C41" s="12" t="inlineStr">
        <is>
          <t>US-123-01</t>
        </is>
      </c>
      <c r="D41" s="12" t="inlineStr">
        <is>
          <t>View and find information in Property Master Setup</t>
        </is>
      </c>
      <c r="E41" s="12" t="inlineStr">
        <is>
          <t>EPIC-19</t>
        </is>
      </c>
      <c r="F41" s="12" t="inlineStr">
        <is>
          <t>Administration</t>
        </is>
      </c>
      <c r="G41" s="12" t="inlineStr">
        <is>
          <t>Property Master</t>
        </is>
      </c>
      <c r="H41" s="11" t="inlineStr">
        <is>
          <t>SCR-123</t>
        </is>
      </c>
      <c r="I41" s="12" t="inlineStr">
        <is>
          <t>Property Master Setup</t>
        </is>
      </c>
      <c r="J41" s="12" t="inlineStr">
        <is>
          <t>View / Search</t>
        </is>
      </c>
      <c r="K41" s="12" t="inlineStr">
        <is>
          <t>System Admin</t>
        </is>
      </c>
      <c r="L41" s="12" t="inlineStr">
        <is>
          <t>As a System Admin, I want to open Property Master Setup and find relevant records using search, filters and sorting, so that I can make accurate operational decisions.</t>
        </is>
      </c>
      <c r="M41" s="12" t="inlineStr">
        <is>
          <t>Provides timely visibility for property master and reduces manual lookup effort.</t>
        </is>
      </c>
      <c r="N41" s="12" t="inlineStr">
        <is>
          <t>Authenticated user; active property; view permission for Administration; Platform data available.</t>
        </is>
      </c>
      <c r="O41" s="12" t="inlineStr">
        <is>
          <t>Given I am authenticated as System Admin with access to the selected property, when I open Property Master Setup,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41" s="12" t="inlineStr">
        <is>
          <t>Cross-property data never appears; unauthorized fields are masked; invalid filters do not break the screen; unavailable services return a controlled message.</t>
        </is>
      </c>
      <c r="Q41" s="12" t="inlineStr">
        <is>
          <t>Tenant/property scope; required fields; optimistic locking; timezone-safe dates; reason mandatory for overrides; least privilege; secret masking; versioning; change approval</t>
        </is>
      </c>
      <c r="R41" s="12" t="inlineStr">
        <is>
          <t>Platform</t>
        </is>
      </c>
      <c r="S41" s="12" t="inlineStr">
        <is>
          <t>GET, POST, PUT/PATCH, DELETE /api/v1/property-master-setup; lookup, validation and audit endpoints; idempotency for financial/booking writes; entities: users, roles, permissions, approvals, audit_logs, templates, import_jobs</t>
        </is>
      </c>
      <c r="T41" s="12" t="inlineStr">
        <is>
          <t>Must Have</t>
        </is>
      </c>
      <c r="U41" s="12" t="inlineStr">
        <is>
          <t>MVP</t>
        </is>
      </c>
      <c r="V41" s="34" t="n">
        <v>3</v>
      </c>
      <c r="W41" s="12" t="inlineStr">
        <is>
          <t>S01-S02</t>
        </is>
      </c>
      <c r="X41" s="12" t="inlineStr">
        <is>
          <t>Backlog</t>
        </is>
      </c>
      <c r="Y41" s="13">
        <f>IF(X41="Done",1,IF(X41="QA",0.9,IF(X41="Code Review",0.75,IF(X41="In Development",0.5,IF(X41="Ready",0.1,0)))))</f>
        <v/>
      </c>
      <c r="Z41" s="12" t="n"/>
      <c r="AA41" s="12" t="inlineStr">
        <is>
          <t>TC-123-A</t>
        </is>
      </c>
      <c r="AB41" s="12" t="inlineStr">
        <is>
          <t>Approved screen design; story reviewed with System Admin; dependencies, API contract, role permissions and test data identified.</t>
        </is>
      </c>
      <c r="AC41" s="12" t="inlineStr">
        <is>
          <t>Code reviewed; unit, API, UI, RBAC and integration tests pass; accessibility and responsive states verified; audit evidence captured; product owner accepts in staging.</t>
        </is>
      </c>
      <c r="AD41" s="12" t="n"/>
    </row>
    <row r="42" ht="78" customHeight="1" s="43">
      <c r="A42" s="11" t="n">
        <v>1</v>
      </c>
      <c r="B42" s="11" t="n">
        <v>38</v>
      </c>
      <c r="C42" s="12" t="inlineStr">
        <is>
          <t>US-123-02</t>
        </is>
      </c>
      <c r="D42" s="12" t="inlineStr">
        <is>
          <t>Complete the primary Property Master Setup workflow</t>
        </is>
      </c>
      <c r="E42" s="12" t="inlineStr">
        <is>
          <t>EPIC-19</t>
        </is>
      </c>
      <c r="F42" s="12" t="inlineStr">
        <is>
          <t>Administration</t>
        </is>
      </c>
      <c r="G42" s="12" t="inlineStr">
        <is>
          <t>Property Master</t>
        </is>
      </c>
      <c r="H42" s="11" t="inlineStr">
        <is>
          <t>SCR-123</t>
        </is>
      </c>
      <c r="I42" s="12" t="inlineStr">
        <is>
          <t>Property Master Setup</t>
        </is>
      </c>
      <c r="J42" s="12" t="inlineStr">
        <is>
          <t>Primary Workflow</t>
        </is>
      </c>
      <c r="K42" s="12" t="inlineStr">
        <is>
          <t>System Admin</t>
        </is>
      </c>
      <c r="L42" s="12" t="inlineStr">
        <is>
          <t>As a System Admin, I want to list, view, create, edit, activate/deactivate, delete where safe in Property Master Setup, so that the property master process is completed accurately without duplicate or inconsistent records.</t>
        </is>
      </c>
      <c r="M42" s="12" t="inlineStr">
        <is>
          <t>Enable administration users to manage property master through the Property Master Setup workflow with real-time status, validations and traceability.</t>
        </is>
      </c>
      <c r="N42" s="12" t="inlineStr">
        <is>
          <t>View access confirmed; required masters and linked records exist; Platform services are available; approval limit is valid.</t>
        </is>
      </c>
      <c r="O4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property master setup workflow; invalid or conflicting actions are blocked with clear messages; saved changes appear in related screens; sensitive changes are auditable.</t>
        </is>
      </c>
      <c r="P42" s="12" t="inlineStr">
        <is>
          <t>Duplicate submission is idempotent; stale data returns a refresh/conflict message; invalid status transitions are blocked; partial failure rolls back without orphan records.</t>
        </is>
      </c>
      <c r="Q42" s="12" t="inlineStr">
        <is>
          <t>Tenant/property scope; required fields; optimistic locking; timezone-safe dates; reason mandatory for overrides; least privilege; secret masking; versioning; change approval</t>
        </is>
      </c>
      <c r="R42" s="12" t="inlineStr">
        <is>
          <t>Platform</t>
        </is>
      </c>
      <c r="S42" s="12" t="inlineStr">
        <is>
          <t>GET, POST, PUT/PATCH, DELETE /api/v1/property-master-setup; lookup, validation and audit endpoints; idempotency for financial/booking writes; entities: users, roles, permissions, approvals, audit_logs, templates, import_jobs</t>
        </is>
      </c>
      <c r="T42" s="12" t="inlineStr">
        <is>
          <t>Must Have</t>
        </is>
      </c>
      <c r="U42" s="12" t="inlineStr">
        <is>
          <t>MVP</t>
        </is>
      </c>
      <c r="V42" s="34" t="n">
        <v>5</v>
      </c>
      <c r="W42" s="12" t="inlineStr">
        <is>
          <t>S01-S02</t>
        </is>
      </c>
      <c r="X42" s="12" t="inlineStr">
        <is>
          <t>Backlog</t>
        </is>
      </c>
      <c r="Y42" s="13">
        <f>IF(X42="Done",1,IF(X42="QA",0.9,IF(X42="Code Review",0.75,IF(X42="In Development",0.5,IF(X42="Ready",0.1,0)))))</f>
        <v/>
      </c>
      <c r="Z42" s="12" t="n"/>
      <c r="AA42" s="12" t="inlineStr">
        <is>
          <t>TC-123-B</t>
        </is>
      </c>
      <c r="AB42" s="12" t="inlineStr">
        <is>
          <t>Approved screen design; story reviewed with System Admin; dependencies, API contract, role permissions and test data identified.</t>
        </is>
      </c>
      <c r="AC42" s="12" t="inlineStr">
        <is>
          <t>Code reviewed; unit, API, UI, RBAC and integration tests pass; accessibility and responsive states verified; audit evidence captured; product owner accepts in staging.</t>
        </is>
      </c>
      <c r="AD42" s="12" t="n"/>
    </row>
    <row r="43" ht="78" customHeight="1" s="43">
      <c r="A43" s="11" t="n">
        <v>1</v>
      </c>
      <c r="B43" s="11" t="n">
        <v>39</v>
      </c>
      <c r="C43" s="12" t="inlineStr">
        <is>
          <t>US-123-03</t>
        </is>
      </c>
      <c r="D43" s="12" t="inlineStr">
        <is>
          <t>Control permissions, overrides and audit for Property Master Setup</t>
        </is>
      </c>
      <c r="E43" s="12" t="inlineStr">
        <is>
          <t>EPIC-19</t>
        </is>
      </c>
      <c r="F43" s="12" t="inlineStr">
        <is>
          <t>Administration</t>
        </is>
      </c>
      <c r="G43" s="12" t="inlineStr">
        <is>
          <t>Property Master</t>
        </is>
      </c>
      <c r="H43" s="11" t="inlineStr">
        <is>
          <t>SCR-123</t>
        </is>
      </c>
      <c r="I43" s="12" t="inlineStr">
        <is>
          <t>Property Master Setup</t>
        </is>
      </c>
      <c r="J43" s="12" t="inlineStr">
        <is>
          <t>Security / Exceptions</t>
        </is>
      </c>
      <c r="K43" s="12" t="inlineStr">
        <is>
          <t>System Admin</t>
        </is>
      </c>
      <c r="L43" s="12" t="inlineStr">
        <is>
          <t>As a department supervisor or auditor, I want sensitive actions in Property Master Setup to follow permissions, approval limits and audit rules, so that resort operations remain secure, compliant and traceable.</t>
        </is>
      </c>
      <c r="M43" s="12" t="inlineStr">
        <is>
          <t>Reduces fraud, privacy leakage, unauthorized overrides and unresolved operational disputes.</t>
        </is>
      </c>
      <c r="N43" s="12" t="inlineStr">
        <is>
          <t>Roles, permissions, approval hierarchy and audit service are configured; allowed and denied test users exist.</t>
        </is>
      </c>
      <c r="O4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43" s="12" t="inlineStr">
        <is>
          <t>Tampered IDs, expired sessions, approval-limit violations and cross-tenant requests are rejected; secrets and sensitive guest/payment fields are never written to logs.</t>
        </is>
      </c>
      <c r="Q43" s="12" t="inlineStr">
        <is>
          <t>Tenant/property scope; required fields; optimistic locking; timezone-safe dates; reason mandatory for overrides; least privilege; secret masking; versioning; change approval</t>
        </is>
      </c>
      <c r="R43" s="12" t="inlineStr">
        <is>
          <t>Platform</t>
        </is>
      </c>
      <c r="S43" s="12" t="inlineStr">
        <is>
          <t>GET, POST, PUT/PATCH, DELETE /api/v1/property-master-setup; lookup, validation and audit endpoints; idempotency for financial/booking writes; entities: users, roles, permissions, approvals, audit_logs, templates, import_jobs</t>
        </is>
      </c>
      <c r="T43" s="12" t="inlineStr">
        <is>
          <t>Must Have</t>
        </is>
      </c>
      <c r="U43" s="12" t="inlineStr">
        <is>
          <t>MVP</t>
        </is>
      </c>
      <c r="V43" s="34" t="n">
        <v>3</v>
      </c>
      <c r="W43" s="12" t="inlineStr">
        <is>
          <t>S01-S02</t>
        </is>
      </c>
      <c r="X43" s="12" t="inlineStr">
        <is>
          <t>Backlog</t>
        </is>
      </c>
      <c r="Y43" s="13">
        <f>IF(X43="Done",1,IF(X43="QA",0.9,IF(X43="Code Review",0.75,IF(X43="In Development",0.5,IF(X43="Ready",0.1,0)))))</f>
        <v/>
      </c>
      <c r="Z43" s="12" t="n"/>
      <c r="AA43" s="12" t="inlineStr">
        <is>
          <t>TC-123-C</t>
        </is>
      </c>
      <c r="AB43" s="12" t="inlineStr">
        <is>
          <t>Approved screen design; story reviewed with System Admin; dependencies, API contract, role permissions and test data identified.</t>
        </is>
      </c>
      <c r="AC43" s="12" t="inlineStr">
        <is>
          <t>Code reviewed; unit, API, UI, RBAC and integration tests pass; accessibility and responsive states verified; audit evidence captured; product owner accepts in staging.</t>
        </is>
      </c>
      <c r="AD43" s="12" t="n"/>
    </row>
    <row r="44" ht="78" customHeight="1" s="43">
      <c r="A44" s="11" t="n">
        <v>1</v>
      </c>
      <c r="B44" s="11" t="n">
        <v>40</v>
      </c>
      <c r="C44" s="12" t="inlineStr">
        <is>
          <t>US-125-01</t>
        </is>
      </c>
      <c r="D44" s="12" t="inlineStr">
        <is>
          <t>View and find information in Notification Template Management</t>
        </is>
      </c>
      <c r="E44" s="12" t="inlineStr">
        <is>
          <t>EPIC-19</t>
        </is>
      </c>
      <c r="F44" s="12" t="inlineStr">
        <is>
          <t>Administration</t>
        </is>
      </c>
      <c r="G44" s="12" t="inlineStr">
        <is>
          <t>Notification Setup</t>
        </is>
      </c>
      <c r="H44" s="11" t="inlineStr">
        <is>
          <t>SCR-125</t>
        </is>
      </c>
      <c r="I44" s="12" t="inlineStr">
        <is>
          <t>Notification Template Management</t>
        </is>
      </c>
      <c r="J44" s="12" t="inlineStr">
        <is>
          <t>View / Search</t>
        </is>
      </c>
      <c r="K44" s="12" t="inlineStr">
        <is>
          <t>System Admin</t>
        </is>
      </c>
      <c r="L44" s="12" t="inlineStr">
        <is>
          <t>As a System Admin, I want to open Notification Template Management and find relevant records using search, filters and sorting, so that I can make accurate operational decisions.</t>
        </is>
      </c>
      <c r="M44" s="12" t="inlineStr">
        <is>
          <t>Provides timely visibility for notification setup and reduces manual lookup effort.</t>
        </is>
      </c>
      <c r="N44" s="12" t="inlineStr">
        <is>
          <t>Authenticated user; active property; view permission for Administration; Platform data available.</t>
        </is>
      </c>
      <c r="O44" s="12" t="inlineStr">
        <is>
          <t>Given I am authenticated as System Admin with access to the selected property, when I open Notification Template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44" s="12" t="inlineStr">
        <is>
          <t>Cross-property data never appears; unauthorized fields are masked; invalid filters do not break the screen; unavailable services return a controlled message.</t>
        </is>
      </c>
      <c r="Q44" s="12" t="inlineStr">
        <is>
          <t>Tenant/property scope; required fields; optimistic locking; timezone-safe dates; reason mandatory for overrides; least privilege; secret masking; versioning; change approval</t>
        </is>
      </c>
      <c r="R44" s="12" t="inlineStr">
        <is>
          <t>Platform</t>
        </is>
      </c>
      <c r="S44" s="12" t="inlineStr">
        <is>
          <t>GET, POST, PUT/PATCH, DELETE /api/v1/notification-template-management; lookup, validation and audit endpoints; idempotency for financial/booking writes; entities: users, roles, permissions, approvals, audit_logs, templates, import_jobs</t>
        </is>
      </c>
      <c r="T44" s="12" t="inlineStr">
        <is>
          <t>Must Have</t>
        </is>
      </c>
      <c r="U44" s="12" t="inlineStr">
        <is>
          <t>MVP</t>
        </is>
      </c>
      <c r="V44" s="34" t="n">
        <v>3</v>
      </c>
      <c r="W44" s="12" t="inlineStr">
        <is>
          <t>S01-S02</t>
        </is>
      </c>
      <c r="X44" s="12" t="inlineStr">
        <is>
          <t>Backlog</t>
        </is>
      </c>
      <c r="Y44" s="13">
        <f>IF(X44="Done",1,IF(X44="QA",0.9,IF(X44="Code Review",0.75,IF(X44="In Development",0.5,IF(X44="Ready",0.1,0)))))</f>
        <v/>
      </c>
      <c r="Z44" s="12" t="n"/>
      <c r="AA44" s="12" t="inlineStr">
        <is>
          <t>TC-125-A</t>
        </is>
      </c>
      <c r="AB44" s="12" t="inlineStr">
        <is>
          <t>Approved screen design; story reviewed with System Admin; dependencies, API contract, role permissions and test data identified.</t>
        </is>
      </c>
      <c r="AC44" s="12" t="inlineStr">
        <is>
          <t>Code reviewed; unit, API, UI, RBAC and integration tests pass; accessibility and responsive states verified; audit evidence captured; product owner accepts in staging.</t>
        </is>
      </c>
      <c r="AD44" s="12" t="n"/>
    </row>
    <row r="45" ht="78" customHeight="1" s="43">
      <c r="A45" s="11" t="n">
        <v>1</v>
      </c>
      <c r="B45" s="11" t="n">
        <v>41</v>
      </c>
      <c r="C45" s="12" t="inlineStr">
        <is>
          <t>US-125-02</t>
        </is>
      </c>
      <c r="D45" s="12" t="inlineStr">
        <is>
          <t>Complete the primary Notification Template Management workflow</t>
        </is>
      </c>
      <c r="E45" s="12" t="inlineStr">
        <is>
          <t>EPIC-19</t>
        </is>
      </c>
      <c r="F45" s="12" t="inlineStr">
        <is>
          <t>Administration</t>
        </is>
      </c>
      <c r="G45" s="12" t="inlineStr">
        <is>
          <t>Notification Setup</t>
        </is>
      </c>
      <c r="H45" s="11" t="inlineStr">
        <is>
          <t>SCR-125</t>
        </is>
      </c>
      <c r="I45" s="12" t="inlineStr">
        <is>
          <t>Notification Template Management</t>
        </is>
      </c>
      <c r="J45" s="12" t="inlineStr">
        <is>
          <t>Primary Workflow</t>
        </is>
      </c>
      <c r="K45" s="12" t="inlineStr">
        <is>
          <t>System Admin</t>
        </is>
      </c>
      <c r="L45" s="12" t="inlineStr">
        <is>
          <t>As a System Admin, I want to list, view, create, edit, activate/deactivate, delete where safe in Notification Template Management, so that the notification setup process is completed accurately without duplicate or inconsistent records.</t>
        </is>
      </c>
      <c r="M45" s="12" t="inlineStr">
        <is>
          <t>Enable administration users to manage notification setup through the Notification Template Management workflow with real-time status, validations and traceability.</t>
        </is>
      </c>
      <c r="N45" s="12" t="inlineStr">
        <is>
          <t>View access confirmed; required masters and linked records exist; Platform services are available; approval limit is valid.</t>
        </is>
      </c>
      <c r="O4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notification template management workflow; invalid or conflicting actions are blocked with clear messages; saved changes appear in related screens; sensitive changes are auditable.</t>
        </is>
      </c>
      <c r="P45" s="12" t="inlineStr">
        <is>
          <t>Duplicate submission is idempotent; stale data returns a refresh/conflict message; invalid status transitions are blocked; partial failure rolls back without orphan records.</t>
        </is>
      </c>
      <c r="Q45" s="12" t="inlineStr">
        <is>
          <t>Tenant/property scope; required fields; optimistic locking; timezone-safe dates; reason mandatory for overrides; least privilege; secret masking; versioning; change approval</t>
        </is>
      </c>
      <c r="R45" s="12" t="inlineStr">
        <is>
          <t>Platform</t>
        </is>
      </c>
      <c r="S45" s="12" t="inlineStr">
        <is>
          <t>GET, POST, PUT/PATCH, DELETE /api/v1/notification-template-management; lookup, validation and audit endpoints; idempotency for financial/booking writes; entities: users, roles, permissions, approvals, audit_logs, templates, import_jobs</t>
        </is>
      </c>
      <c r="T45" s="12" t="inlineStr">
        <is>
          <t>Must Have</t>
        </is>
      </c>
      <c r="U45" s="12" t="inlineStr">
        <is>
          <t>MVP</t>
        </is>
      </c>
      <c r="V45" s="34" t="n">
        <v>5</v>
      </c>
      <c r="W45" s="12" t="inlineStr">
        <is>
          <t>S01-S02</t>
        </is>
      </c>
      <c r="X45" s="12" t="inlineStr">
        <is>
          <t>Backlog</t>
        </is>
      </c>
      <c r="Y45" s="13">
        <f>IF(X45="Done",1,IF(X45="QA",0.9,IF(X45="Code Review",0.75,IF(X45="In Development",0.5,IF(X45="Ready",0.1,0)))))</f>
        <v/>
      </c>
      <c r="Z45" s="12" t="n"/>
      <c r="AA45" s="12" t="inlineStr">
        <is>
          <t>TC-125-B</t>
        </is>
      </c>
      <c r="AB45" s="12" t="inlineStr">
        <is>
          <t>Approved screen design; story reviewed with System Admin; dependencies, API contract, role permissions and test data identified.</t>
        </is>
      </c>
      <c r="AC45" s="12" t="inlineStr">
        <is>
          <t>Code reviewed; unit, API, UI, RBAC and integration tests pass; accessibility and responsive states verified; audit evidence captured; product owner accepts in staging.</t>
        </is>
      </c>
      <c r="AD45" s="12" t="n"/>
    </row>
    <row r="46" ht="78" customHeight="1" s="43">
      <c r="A46" s="11" t="n">
        <v>1</v>
      </c>
      <c r="B46" s="11" t="n">
        <v>42</v>
      </c>
      <c r="C46" s="12" t="inlineStr">
        <is>
          <t>US-125-03</t>
        </is>
      </c>
      <c r="D46" s="12" t="inlineStr">
        <is>
          <t>Control permissions, overrides and audit for Notification Template Management</t>
        </is>
      </c>
      <c r="E46" s="12" t="inlineStr">
        <is>
          <t>EPIC-19</t>
        </is>
      </c>
      <c r="F46" s="12" t="inlineStr">
        <is>
          <t>Administration</t>
        </is>
      </c>
      <c r="G46" s="12" t="inlineStr">
        <is>
          <t>Notification Setup</t>
        </is>
      </c>
      <c r="H46" s="11" t="inlineStr">
        <is>
          <t>SCR-125</t>
        </is>
      </c>
      <c r="I46" s="12" t="inlineStr">
        <is>
          <t>Notification Template Management</t>
        </is>
      </c>
      <c r="J46" s="12" t="inlineStr">
        <is>
          <t>Security / Exceptions</t>
        </is>
      </c>
      <c r="K46" s="12" t="inlineStr">
        <is>
          <t>System Admin</t>
        </is>
      </c>
      <c r="L46" s="12" t="inlineStr">
        <is>
          <t>As a department supervisor or auditor, I want sensitive actions in Notification Template Management to follow permissions, approval limits and audit rules, so that resort operations remain secure, compliant and traceable.</t>
        </is>
      </c>
      <c r="M46" s="12" t="inlineStr">
        <is>
          <t>Reduces fraud, privacy leakage, unauthorized overrides and unresolved operational disputes.</t>
        </is>
      </c>
      <c r="N46" s="12" t="inlineStr">
        <is>
          <t>Roles, permissions, approval hierarchy and audit service are configured; allowed and denied test users exist.</t>
        </is>
      </c>
      <c r="O4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46" s="12" t="inlineStr">
        <is>
          <t>Tampered IDs, expired sessions, approval-limit violations and cross-tenant requests are rejected; secrets and sensitive guest/payment fields are never written to logs.</t>
        </is>
      </c>
      <c r="Q46" s="12" t="inlineStr">
        <is>
          <t>Tenant/property scope; required fields; optimistic locking; timezone-safe dates; reason mandatory for overrides; least privilege; secret masking; versioning; change approval</t>
        </is>
      </c>
      <c r="R46" s="12" t="inlineStr">
        <is>
          <t>Platform</t>
        </is>
      </c>
      <c r="S46" s="12" t="inlineStr">
        <is>
          <t>GET, POST, PUT/PATCH, DELETE /api/v1/notification-template-management; lookup, validation and audit endpoints; idempotency for financial/booking writes; entities: users, roles, permissions, approvals, audit_logs, templates, import_jobs</t>
        </is>
      </c>
      <c r="T46" s="12" t="inlineStr">
        <is>
          <t>Must Have</t>
        </is>
      </c>
      <c r="U46" s="12" t="inlineStr">
        <is>
          <t>MVP</t>
        </is>
      </c>
      <c r="V46" s="34" t="n">
        <v>3</v>
      </c>
      <c r="W46" s="12" t="inlineStr">
        <is>
          <t>S01-S02</t>
        </is>
      </c>
      <c r="X46" s="12" t="inlineStr">
        <is>
          <t>Backlog</t>
        </is>
      </c>
      <c r="Y46" s="13">
        <f>IF(X46="Done",1,IF(X46="QA",0.9,IF(X46="Code Review",0.75,IF(X46="In Development",0.5,IF(X46="Ready",0.1,0)))))</f>
        <v/>
      </c>
      <c r="Z46" s="12" t="n"/>
      <c r="AA46" s="12" t="inlineStr">
        <is>
          <t>TC-125-C</t>
        </is>
      </c>
      <c r="AB46" s="12" t="inlineStr">
        <is>
          <t>Approved screen design; story reviewed with System Admin; dependencies, API contract, role permissions and test data identified.</t>
        </is>
      </c>
      <c r="AC46" s="12" t="inlineStr">
        <is>
          <t>Code reviewed; unit, API, UI, RBAC and integration tests pass; accessibility and responsive states verified; audit evidence captured; product owner accepts in staging.</t>
        </is>
      </c>
      <c r="AD46" s="12" t="n"/>
    </row>
    <row r="47" ht="78" customHeight="1" s="43">
      <c r="A47" s="11" t="n">
        <v>1</v>
      </c>
      <c r="B47" s="11" t="n">
        <v>43</v>
      </c>
      <c r="C47" s="12" t="inlineStr">
        <is>
          <t>US-126-01</t>
        </is>
      </c>
      <c r="D47" s="12" t="inlineStr">
        <is>
          <t>View and find information in Data Import and Export Center</t>
        </is>
      </c>
      <c r="E47" s="12" t="inlineStr">
        <is>
          <t>EPIC-19</t>
        </is>
      </c>
      <c r="F47" s="12" t="inlineStr">
        <is>
          <t>Administration</t>
        </is>
      </c>
      <c r="G47" s="12" t="inlineStr">
        <is>
          <t>Data Operations</t>
        </is>
      </c>
      <c r="H47" s="11" t="inlineStr">
        <is>
          <t>SCR-126</t>
        </is>
      </c>
      <c r="I47" s="12" t="inlineStr">
        <is>
          <t>Data Import and Export Center</t>
        </is>
      </c>
      <c r="J47" s="12" t="inlineStr">
        <is>
          <t>View / Search</t>
        </is>
      </c>
      <c r="K47" s="12" t="inlineStr">
        <is>
          <t>System Admin</t>
        </is>
      </c>
      <c r="L47" s="12" t="inlineStr">
        <is>
          <t>As a System Admin, I want to open Data Import and Export Center and find relevant records using search, filters and sorting, so that I can make accurate operational decisions.</t>
        </is>
      </c>
      <c r="M47" s="12" t="inlineStr">
        <is>
          <t>Provides timely visibility for data operations and reduces manual lookup effort.</t>
        </is>
      </c>
      <c r="N47" s="12" t="inlineStr">
        <is>
          <t>Authenticated user; active property; view permission for Administration; Platform data available.</t>
        </is>
      </c>
      <c r="O47" s="12" t="inlineStr">
        <is>
          <t>Given I am authenticated as System Admin with access to the selected property, when I open Data Import and Export Center,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47" s="12" t="inlineStr">
        <is>
          <t>Cross-property data never appears; unauthorized fields are masked; invalid filters do not break the screen; unavailable services return a controlled message.</t>
        </is>
      </c>
      <c r="Q47" s="12" t="inlineStr">
        <is>
          <t>Tenant/property scope; required fields; optimistic locking; timezone-safe dates; reason mandatory for overrides; least privilege; secret masking; versioning; change approval</t>
        </is>
      </c>
      <c r="R47" s="12" t="inlineStr">
        <is>
          <t>Platform</t>
        </is>
      </c>
      <c r="S47" s="12" t="inlineStr">
        <is>
          <t>GET, POST, PUT/PATCH, DELETE /api/v1/data-import-and-export-center; lookup, validation and audit endpoints; idempotency for financial/booking writes; entities: users, roles, permissions, approvals, audit_logs, templates, import_jobs</t>
        </is>
      </c>
      <c r="T47" s="12" t="inlineStr">
        <is>
          <t>Must Have</t>
        </is>
      </c>
      <c r="U47" s="12" t="inlineStr">
        <is>
          <t>MVP</t>
        </is>
      </c>
      <c r="V47" s="34" t="n">
        <v>3</v>
      </c>
      <c r="W47" s="12" t="inlineStr">
        <is>
          <t>S01-S02</t>
        </is>
      </c>
      <c r="X47" s="12" t="inlineStr">
        <is>
          <t>Backlog</t>
        </is>
      </c>
      <c r="Y47" s="13">
        <f>IF(X47="Done",1,IF(X47="QA",0.9,IF(X47="Code Review",0.75,IF(X47="In Development",0.5,IF(X47="Ready",0.1,0)))))</f>
        <v/>
      </c>
      <c r="Z47" s="12" t="n"/>
      <c r="AA47" s="12" t="inlineStr">
        <is>
          <t>TC-126-A</t>
        </is>
      </c>
      <c r="AB47" s="12" t="inlineStr">
        <is>
          <t>Approved screen design; story reviewed with System Admin; dependencies, API contract, role permissions and test data identified.</t>
        </is>
      </c>
      <c r="AC47" s="12" t="inlineStr">
        <is>
          <t>Code reviewed; unit, API, UI, RBAC and integration tests pass; accessibility and responsive states verified; audit evidence captured; product owner accepts in staging.</t>
        </is>
      </c>
      <c r="AD47" s="12" t="n"/>
    </row>
    <row r="48" ht="78" customHeight="1" s="43">
      <c r="A48" s="11" t="n">
        <v>1</v>
      </c>
      <c r="B48" s="11" t="n">
        <v>44</v>
      </c>
      <c r="C48" s="12" t="inlineStr">
        <is>
          <t>US-126-02</t>
        </is>
      </c>
      <c r="D48" s="12" t="inlineStr">
        <is>
          <t>Complete the primary Data Import and Export Center workflow</t>
        </is>
      </c>
      <c r="E48" s="12" t="inlineStr">
        <is>
          <t>EPIC-19</t>
        </is>
      </c>
      <c r="F48" s="12" t="inlineStr">
        <is>
          <t>Administration</t>
        </is>
      </c>
      <c r="G48" s="12" t="inlineStr">
        <is>
          <t>Data Operations</t>
        </is>
      </c>
      <c r="H48" s="11" t="inlineStr">
        <is>
          <t>SCR-126</t>
        </is>
      </c>
      <c r="I48" s="12" t="inlineStr">
        <is>
          <t>Data Import and Export Center</t>
        </is>
      </c>
      <c r="J48" s="12" t="inlineStr">
        <is>
          <t>Primary Workflow</t>
        </is>
      </c>
      <c r="K48" s="12" t="inlineStr">
        <is>
          <t>System Admin</t>
        </is>
      </c>
      <c r="L48" s="12" t="inlineStr">
        <is>
          <t>As a System Admin, I want to list, search, filter, view, create, edit, cancel/delete under policy, export in Data Import and Export Center, so that the data operations process is completed accurately without duplicate or inconsistent records.</t>
        </is>
      </c>
      <c r="M48" s="12" t="inlineStr">
        <is>
          <t>Enable administration users to manage data operations through the Data Import and Export Center workflow with real-time status, validations and traceability.</t>
        </is>
      </c>
      <c r="N48" s="12" t="inlineStr">
        <is>
          <t>View access confirmed; required masters and linked records exist; Platform services are available; approval limit is valid.</t>
        </is>
      </c>
      <c r="O4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data import and export center workflow; invalid or conflicting actions are blocked with clear messages; saved changes appear in related screens; sensitive changes are auditable.</t>
        </is>
      </c>
      <c r="P48" s="12" t="inlineStr">
        <is>
          <t>Duplicate submission is idempotent; stale data returns a refresh/conflict message; invalid status transitions are blocked; partial failure rolls back without orphan records.</t>
        </is>
      </c>
      <c r="Q48" s="12" t="inlineStr">
        <is>
          <t>Tenant/property scope; required fields; optimistic locking; timezone-safe dates; reason mandatory for overrides; least privilege; secret masking; versioning; change approval</t>
        </is>
      </c>
      <c r="R48" s="12" t="inlineStr">
        <is>
          <t>Platform</t>
        </is>
      </c>
      <c r="S48" s="12" t="inlineStr">
        <is>
          <t>GET, POST, PUT/PATCH, DELETE /api/v1/data-import-and-export-center; lookup, validation and audit endpoints; idempotency for financial/booking writes; entities: users, roles, permissions, approvals, audit_logs, templates, import_jobs</t>
        </is>
      </c>
      <c r="T48" s="12" t="inlineStr">
        <is>
          <t>Must Have</t>
        </is>
      </c>
      <c r="U48" s="12" t="inlineStr">
        <is>
          <t>MVP</t>
        </is>
      </c>
      <c r="V48" s="34" t="n">
        <v>5</v>
      </c>
      <c r="W48" s="12" t="inlineStr">
        <is>
          <t>S01-S02</t>
        </is>
      </c>
      <c r="X48" s="12" t="inlineStr">
        <is>
          <t>Backlog</t>
        </is>
      </c>
      <c r="Y48" s="13">
        <f>IF(X48="Done",1,IF(X48="QA",0.9,IF(X48="Code Review",0.75,IF(X48="In Development",0.5,IF(X48="Ready",0.1,0)))))</f>
        <v/>
      </c>
      <c r="Z48" s="12" t="n"/>
      <c r="AA48" s="12" t="inlineStr">
        <is>
          <t>TC-126-B</t>
        </is>
      </c>
      <c r="AB48" s="12" t="inlineStr">
        <is>
          <t>Approved screen design; story reviewed with System Admin; dependencies, API contract, role permissions and test data identified.</t>
        </is>
      </c>
      <c r="AC48" s="12" t="inlineStr">
        <is>
          <t>Code reviewed; unit, API, UI, RBAC and integration tests pass; accessibility and responsive states verified; audit evidence captured; product owner accepts in staging.</t>
        </is>
      </c>
      <c r="AD48" s="12" t="n"/>
    </row>
    <row r="49" ht="78" customHeight="1" s="43">
      <c r="A49" s="11" t="n">
        <v>1</v>
      </c>
      <c r="B49" s="11" t="n">
        <v>45</v>
      </c>
      <c r="C49" s="12" t="inlineStr">
        <is>
          <t>US-126-03</t>
        </is>
      </c>
      <c r="D49" s="12" t="inlineStr">
        <is>
          <t>Control permissions, overrides and audit for Data Import and Export Center</t>
        </is>
      </c>
      <c r="E49" s="12" t="inlineStr">
        <is>
          <t>EPIC-19</t>
        </is>
      </c>
      <c r="F49" s="12" t="inlineStr">
        <is>
          <t>Administration</t>
        </is>
      </c>
      <c r="G49" s="12" t="inlineStr">
        <is>
          <t>Data Operations</t>
        </is>
      </c>
      <c r="H49" s="11" t="inlineStr">
        <is>
          <t>SCR-126</t>
        </is>
      </c>
      <c r="I49" s="12" t="inlineStr">
        <is>
          <t>Data Import and Export Center</t>
        </is>
      </c>
      <c r="J49" s="12" t="inlineStr">
        <is>
          <t>Security / Exceptions</t>
        </is>
      </c>
      <c r="K49" s="12" t="inlineStr">
        <is>
          <t>System Admin</t>
        </is>
      </c>
      <c r="L49" s="12" t="inlineStr">
        <is>
          <t>As a department supervisor or auditor, I want sensitive actions in Data Import and Export Center to follow permissions, approval limits and audit rules, so that resort operations remain secure, compliant and traceable.</t>
        </is>
      </c>
      <c r="M49" s="12" t="inlineStr">
        <is>
          <t>Reduces fraud, privacy leakage, unauthorized overrides and unresolved operational disputes.</t>
        </is>
      </c>
      <c r="N49" s="12" t="inlineStr">
        <is>
          <t>Roles, permissions, approval hierarchy and audit service are configured; allowed and denied test users exist.</t>
        </is>
      </c>
      <c r="O4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49" s="12" t="inlineStr">
        <is>
          <t>Tampered IDs, expired sessions, approval-limit violations and cross-tenant requests are rejected; secrets and sensitive guest/payment fields are never written to logs.</t>
        </is>
      </c>
      <c r="Q49" s="12" t="inlineStr">
        <is>
          <t>Tenant/property scope; required fields; optimistic locking; timezone-safe dates; reason mandatory for overrides; least privilege; secret masking; versioning; change approval</t>
        </is>
      </c>
      <c r="R49" s="12" t="inlineStr">
        <is>
          <t>Platform</t>
        </is>
      </c>
      <c r="S49" s="12" t="inlineStr">
        <is>
          <t>GET, POST, PUT/PATCH, DELETE /api/v1/data-import-and-export-center; lookup, validation and audit endpoints; idempotency for financial/booking writes; entities: users, roles, permissions, approvals, audit_logs, templates, import_jobs</t>
        </is>
      </c>
      <c r="T49" s="12" t="inlineStr">
        <is>
          <t>Must Have</t>
        </is>
      </c>
      <c r="U49" s="12" t="inlineStr">
        <is>
          <t>MVP</t>
        </is>
      </c>
      <c r="V49" s="34" t="n">
        <v>3</v>
      </c>
      <c r="W49" s="12" t="inlineStr">
        <is>
          <t>S01-S02</t>
        </is>
      </c>
      <c r="X49" s="12" t="inlineStr">
        <is>
          <t>Backlog</t>
        </is>
      </c>
      <c r="Y49" s="13">
        <f>IF(X49="Done",1,IF(X49="QA",0.9,IF(X49="Code Review",0.75,IF(X49="In Development",0.5,IF(X49="Ready",0.1,0)))))</f>
        <v/>
      </c>
      <c r="Z49" s="12" t="n"/>
      <c r="AA49" s="12" t="inlineStr">
        <is>
          <t>TC-126-C</t>
        </is>
      </c>
      <c r="AB49" s="12" t="inlineStr">
        <is>
          <t>Approved screen design; story reviewed with System Admin; dependencies, API contract, role permissions and test data identified.</t>
        </is>
      </c>
      <c r="AC49" s="12" t="inlineStr">
        <is>
          <t>Code reviewed; unit, API, UI, RBAC and integration tests pass; accessibility and responsive states verified; audit evidence captured; product owner accepts in staging.</t>
        </is>
      </c>
      <c r="AD49" s="12" t="n"/>
    </row>
    <row r="50" ht="78" customHeight="1" s="43">
      <c r="A50" s="11" t="n">
        <v>1</v>
      </c>
      <c r="B50" s="11" t="n">
        <v>46</v>
      </c>
      <c r="C50" s="12" t="inlineStr">
        <is>
          <t>US-008-01</t>
        </is>
      </c>
      <c r="D50" s="12" t="inlineStr">
        <is>
          <t>View and find information in Rooms and Villas Inventory</t>
        </is>
      </c>
      <c r="E50" s="12" t="inlineStr">
        <is>
          <t>EPIC-05</t>
        </is>
      </c>
      <c r="F50" s="12" t="inlineStr">
        <is>
          <t>Property &amp; Rooms</t>
        </is>
      </c>
      <c r="G50" s="12" t="inlineStr">
        <is>
          <t>Inventory</t>
        </is>
      </c>
      <c r="H50" s="11" t="inlineStr">
        <is>
          <t>SCR-008</t>
        </is>
      </c>
      <c r="I50" s="12" t="inlineStr">
        <is>
          <t>Rooms and Villas Inventory</t>
        </is>
      </c>
      <c r="J50" s="12" t="inlineStr">
        <is>
          <t>View / Search</t>
        </is>
      </c>
      <c r="K50" s="12" t="inlineStr">
        <is>
          <t>Property Admin</t>
        </is>
      </c>
      <c r="L50" s="12" t="inlineStr">
        <is>
          <t>As a Property Admin, I want to open Rooms and Villas Inventory and find relevant records using search, filters and sorting, so that I can make accurate operational decisions.</t>
        </is>
      </c>
      <c r="M50" s="12" t="inlineStr">
        <is>
          <t>Provides timely visibility for inventory and reduces manual lookup effort.</t>
        </is>
      </c>
      <c r="N50" s="12" t="inlineStr">
        <is>
          <t>Authenticated user; active property; view permission for Property &amp; Rooms; Administration data available.</t>
        </is>
      </c>
      <c r="O50" s="12" t="inlineStr">
        <is>
          <t>Given I am authenticated as Property Admin with access to the selected property, when I open Rooms and Villas Inventory,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50" s="12" t="inlineStr">
        <is>
          <t>Cross-property data never appears; unauthorized fields are masked; invalid filters do not break the screen; unavailable services return a controlled message.</t>
        </is>
      </c>
      <c r="Q50" s="12" t="inlineStr">
        <is>
          <t>Tenant/property scope; required fields; optimistic locking; timezone-safe dates; reason mandatory for overrides; valid status transition; linked-record integrity</t>
        </is>
      </c>
      <c r="R50" s="12" t="inlineStr">
        <is>
          <t>Administration</t>
        </is>
      </c>
      <c r="S50" s="12" t="inlineStr">
        <is>
          <t>GET, POST, PUT/PATCH, DELETE /api/v1/rooms-and-villas-inventory; lookup, validation and audit endpoints; idempotency for financial/booking writes; entities: properties, buildings, floors, room_types, rooms, amenities</t>
        </is>
      </c>
      <c r="T50" s="12" t="inlineStr">
        <is>
          <t>Must Have</t>
        </is>
      </c>
      <c r="U50" s="12" t="inlineStr">
        <is>
          <t>MVP</t>
        </is>
      </c>
      <c r="V50" s="34" t="n">
        <v>3</v>
      </c>
      <c r="W50" s="12" t="inlineStr">
        <is>
          <t>S03-S04</t>
        </is>
      </c>
      <c r="X50" s="12" t="inlineStr">
        <is>
          <t>Done</t>
        </is>
      </c>
      <c r="Y50" s="13" t="n">
        <v>1</v>
      </c>
      <c r="Z50" s="12" t="n"/>
      <c r="AA50" s="12" t="inlineStr">
        <is>
          <t>TC-008-A</t>
        </is>
      </c>
      <c r="AB50" s="12" t="inlineStr">
        <is>
          <t>Approved screen design; story reviewed with Property Admin; dependencies, API contract, role permissions and test data identified.</t>
        </is>
      </c>
      <c r="AC50" s="12" t="inlineStr">
        <is>
          <t>Code reviewed; unit, API, UI, RBAC and integration tests pass; accessibility and responsive states verified; audit evidence captured; product owner accepts in staging.</t>
        </is>
      </c>
      <c r="AD50" s="12" t="inlineStr">
        <is>
          <t>Rooms &amp; Villas Inventory (mockup 008) view/search: GET /booking/rooms property-scoped grid+list with live KPI cards (total/occupied/available/cleaning/maintenance) and server-side Floor/Room Type/Status filters over 44 real rooms. Occupancy and housekeeping state are DERIVED at query time from booking.stays/reservation_units and operations.room_condition, never stored. RBAC rooms.view. Verified: 44 rooms, state=cleaning returns 24.</t>
        </is>
      </c>
    </row>
    <row r="51" ht="78" customHeight="1" s="43">
      <c r="A51" s="11" t="n">
        <v>1</v>
      </c>
      <c r="B51" s="11" t="n">
        <v>47</v>
      </c>
      <c r="C51" s="12" t="inlineStr">
        <is>
          <t>US-008-02</t>
        </is>
      </c>
      <c r="D51" s="12" t="inlineStr">
        <is>
          <t>Complete the primary Rooms and Villas Inventory workflow</t>
        </is>
      </c>
      <c r="E51" s="12" t="inlineStr">
        <is>
          <t>EPIC-05</t>
        </is>
      </c>
      <c r="F51" s="12" t="inlineStr">
        <is>
          <t>Property &amp; Rooms</t>
        </is>
      </c>
      <c r="G51" s="12" t="inlineStr">
        <is>
          <t>Inventory</t>
        </is>
      </c>
      <c r="H51" s="11" t="inlineStr">
        <is>
          <t>SCR-008</t>
        </is>
      </c>
      <c r="I51" s="12" t="inlineStr">
        <is>
          <t>Rooms and Villas Inventory</t>
        </is>
      </c>
      <c r="J51" s="12" t="inlineStr">
        <is>
          <t>Primary Workflow</t>
        </is>
      </c>
      <c r="K51" s="12" t="inlineStr">
        <is>
          <t>Property Admin</t>
        </is>
      </c>
      <c r="L51" s="12" t="inlineStr">
        <is>
          <t>As a Property Admin, I want to list, search, filter, view, create, edit, cancel/delete under policy, export in Rooms and Villas Inventory, so that the inventory process is completed accurately without duplicate or inconsistent records.</t>
        </is>
      </c>
      <c r="M51" s="12" t="inlineStr">
        <is>
          <t>Enable property &amp; rooms users to manage inventory through the Rooms and Villas Inventory workflow with real-time status, validations and traceability.</t>
        </is>
      </c>
      <c r="N51" s="12" t="inlineStr">
        <is>
          <t>View access confirmed; required masters and linked records exist; Administration services are available; approval limit is valid.</t>
        </is>
      </c>
      <c r="O5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rooms and villas inventory workflow; invalid or conflicting actions are blocked with clear messages; saved changes appear in related screens; sensitive changes are auditable.</t>
        </is>
      </c>
      <c r="P51" s="12" t="inlineStr">
        <is>
          <t>Duplicate submission is idempotent; stale data returns a refresh/conflict message; invalid status transitions are blocked; partial failure rolls back without orphan records.</t>
        </is>
      </c>
      <c r="Q51" s="12" t="inlineStr">
        <is>
          <t>Tenant/property scope; required fields; optimistic locking; timezone-safe dates; reason mandatory for overrides; valid status transition; linked-record integrity</t>
        </is>
      </c>
      <c r="R51" s="12" t="inlineStr">
        <is>
          <t>Administration</t>
        </is>
      </c>
      <c r="S51" s="12" t="inlineStr">
        <is>
          <t>GET, POST, PUT/PATCH, DELETE /api/v1/rooms-and-villas-inventory; lookup, validation and audit endpoints; idempotency for financial/booking writes; entities: properties, buildings, floors, room_types, rooms, amenities</t>
        </is>
      </c>
      <c r="T51" s="12" t="inlineStr">
        <is>
          <t>Must Have</t>
        </is>
      </c>
      <c r="U51" s="12" t="inlineStr">
        <is>
          <t>MVP</t>
        </is>
      </c>
      <c r="V51" s="34" t="n">
        <v>5</v>
      </c>
      <c r="W51" s="12" t="inlineStr">
        <is>
          <t>S03-S04</t>
        </is>
      </c>
      <c r="X51" s="12" t="inlineStr">
        <is>
          <t>Done</t>
        </is>
      </c>
      <c r="Y51" s="13" t="n">
        <v>1</v>
      </c>
      <c r="Z51" s="12" t="n"/>
      <c r="AA51" s="12" t="inlineStr">
        <is>
          <t>TC-008-B</t>
        </is>
      </c>
      <c r="AB51" s="12" t="inlineStr">
        <is>
          <t>Approved screen design; story reviewed with Property Admin; dependencies, API contract, role permissions and test data identified.</t>
        </is>
      </c>
      <c r="AC51" s="12" t="inlineStr">
        <is>
          <t>Code reviewed; unit, API, UI, RBAC and integration tests pass; accessibility and responsive states verified; audit evidence captured; product owner accepts in staging.</t>
        </is>
      </c>
      <c r="AD51" s="12" t="inlineStr">
        <is>
          <t>Inventory primary workflow: grid/list toggle, Add Room, View, Assign (real reservation assignment via the GiST-guarded flow endpoint) and Block/Unblock. The Blocks tab now hosts the full Room Block &amp; Out of Order screen (063) rather than a placeholder list. Verified assign 200 + 409 on overlap, block round-trip. Remaining mockup gap: the 5th 'Rate Plans' tab is present but its module (screen 066) is not built.</t>
        </is>
      </c>
    </row>
    <row r="52" ht="78" customHeight="1" s="43">
      <c r="A52" s="11" t="n">
        <v>1</v>
      </c>
      <c r="B52" s="11" t="n">
        <v>48</v>
      </c>
      <c r="C52" s="12" t="inlineStr">
        <is>
          <t>US-008-03</t>
        </is>
      </c>
      <c r="D52" s="12" t="inlineStr">
        <is>
          <t>Control permissions, overrides and audit for Rooms and Villas Inventory</t>
        </is>
      </c>
      <c r="E52" s="12" t="inlineStr">
        <is>
          <t>EPIC-05</t>
        </is>
      </c>
      <c r="F52" s="12" t="inlineStr">
        <is>
          <t>Property &amp; Rooms</t>
        </is>
      </c>
      <c r="G52" s="12" t="inlineStr">
        <is>
          <t>Inventory</t>
        </is>
      </c>
      <c r="H52" s="11" t="inlineStr">
        <is>
          <t>SCR-008</t>
        </is>
      </c>
      <c r="I52" s="12" t="inlineStr">
        <is>
          <t>Rooms and Villas Inventory</t>
        </is>
      </c>
      <c r="J52" s="12" t="inlineStr">
        <is>
          <t>Security / Exceptions</t>
        </is>
      </c>
      <c r="K52" s="12" t="inlineStr">
        <is>
          <t>Property Admin</t>
        </is>
      </c>
      <c r="L52" s="12" t="inlineStr">
        <is>
          <t>As a department supervisor or auditor, I want sensitive actions in Rooms and Villas Inventory to follow permissions, approval limits and audit rules, so that resort operations remain secure, compliant and traceable.</t>
        </is>
      </c>
      <c r="M52" s="12" t="inlineStr">
        <is>
          <t>Reduces fraud, privacy leakage, unauthorized overrides and unresolved operational disputes.</t>
        </is>
      </c>
      <c r="N52" s="12" t="inlineStr">
        <is>
          <t>Roles, permissions, approval hierarchy and audit service are configured; allowed and denied test users exist.</t>
        </is>
      </c>
      <c r="O5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52" s="12" t="inlineStr">
        <is>
          <t>Tampered IDs, expired sessions, approval-limit violations and cross-tenant requests are rejected; secrets and sensitive guest/payment fields are never written to logs.</t>
        </is>
      </c>
      <c r="Q52" s="12" t="inlineStr">
        <is>
          <t>Tenant/property scope; required fields; optimistic locking; timezone-safe dates; reason mandatory for overrides; valid status transition; linked-record integrity</t>
        </is>
      </c>
      <c r="R52" s="12" t="inlineStr">
        <is>
          <t>Administration</t>
        </is>
      </c>
      <c r="S52" s="12" t="inlineStr">
        <is>
          <t>GET, POST, PUT/PATCH, DELETE /api/v1/rooms-and-villas-inventory; lookup, validation and audit endpoints; idempotency for financial/booking writes; entities: properties, buildings, floors, room_types, rooms, amenities</t>
        </is>
      </c>
      <c r="T52" s="12" t="inlineStr">
        <is>
          <t>Must Have</t>
        </is>
      </c>
      <c r="U52" s="12" t="inlineStr">
        <is>
          <t>MVP</t>
        </is>
      </c>
      <c r="V52" s="34" t="n">
        <v>3</v>
      </c>
      <c r="W52" s="12" t="inlineStr">
        <is>
          <t>S03-S04</t>
        </is>
      </c>
      <c r="X52" s="12" t="inlineStr">
        <is>
          <t>Done</t>
        </is>
      </c>
      <c r="Y52" s="13" t="n">
        <v>1</v>
      </c>
      <c r="Z52" s="12" t="n"/>
      <c r="AA52" s="12" t="inlineStr">
        <is>
          <t>TC-008-C</t>
        </is>
      </c>
      <c r="AB52" s="12" t="inlineStr">
        <is>
          <t>Approved screen design; story reviewed with Property Admin; dependencies, API contract, role permissions and test data identified.</t>
        </is>
      </c>
      <c r="AC52" s="12" t="inlineStr">
        <is>
          <t>Code reviewed; unit, API, UI, RBAC and integration tests pass; accessibility and responsive states verified; audit evidence captured; product owner accepts in staging.</t>
        </is>
      </c>
      <c r="AD52" s="12" t="inlineStr">
        <is>
          <t>Security/exceptions: deny-by-default rooms.view (no token -&gt; 401, no permission -&gt; 403); cross-tenant property_id -&gt; 403 via assert_property_in_org; blocking a room with an in-house stay -&gt; 409 (guard implemented; not exercised - no in-house stays in current data); append-only audit room.block/room.unblock. Verified 401/403/403.</t>
        </is>
      </c>
    </row>
    <row r="53" ht="78" customHeight="1" s="43">
      <c r="A53" s="11" t="n">
        <v>1</v>
      </c>
      <c r="B53" s="11" t="n">
        <v>49</v>
      </c>
      <c r="C53" s="12" t="inlineStr">
        <is>
          <t>US-011-01</t>
        </is>
      </c>
      <c r="D53" s="12" t="inlineStr">
        <is>
          <t>View and find information in Room Details</t>
        </is>
      </c>
      <c r="E53" s="12" t="inlineStr">
        <is>
          <t>EPIC-05</t>
        </is>
      </c>
      <c r="F53" s="12" t="inlineStr">
        <is>
          <t>Property &amp; Rooms</t>
        </is>
      </c>
      <c r="G53" s="12" t="inlineStr">
        <is>
          <t>Room Details</t>
        </is>
      </c>
      <c r="H53" s="11" t="inlineStr">
        <is>
          <t>SCR-011</t>
        </is>
      </c>
      <c r="I53" s="12" t="inlineStr">
        <is>
          <t>Room Details</t>
        </is>
      </c>
      <c r="J53" s="12" t="inlineStr">
        <is>
          <t>View / Search</t>
        </is>
      </c>
      <c r="K53" s="12" t="inlineStr">
        <is>
          <t>Property Admin</t>
        </is>
      </c>
      <c r="L53" s="12" t="inlineStr">
        <is>
          <t>As a Property Admin, I want to open Room Details and find relevant records using search, filters and sorting, so that I can make accurate operational decisions.</t>
        </is>
      </c>
      <c r="M53" s="12" t="inlineStr">
        <is>
          <t>Provides timely visibility for room details and reduces manual lookup effort.</t>
        </is>
      </c>
      <c r="N53" s="12" t="inlineStr">
        <is>
          <t>Authenticated user; active property; view permission for Property &amp; Rooms; Administration data available.</t>
        </is>
      </c>
      <c r="O53" s="12" t="inlineStr">
        <is>
          <t>Given I am authenticated as Property Admin with access to the selected property, when I open Room Details,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53" s="12" t="inlineStr">
        <is>
          <t>Cross-property data never appears; unauthorized fields are masked; invalid filters do not break the screen; unavailable services return a controlled message.</t>
        </is>
      </c>
      <c r="Q53" s="12" t="inlineStr">
        <is>
          <t>Tenant/property scope; required fields; optimistic locking; timezone-safe dates; reason mandatory for overrides; valid status transition; linked-record integrity</t>
        </is>
      </c>
      <c r="R53" s="12" t="inlineStr">
        <is>
          <t>Administration</t>
        </is>
      </c>
      <c r="S53" s="12" t="inlineStr">
        <is>
          <t>GET, POST, PUT/PATCH, DELETE /api/v1/room-details; lookup, validation and audit endpoints; idempotency for financial/booking writes; entities: properties, buildings, floors, room_types, rooms, amenities</t>
        </is>
      </c>
      <c r="T53" s="12" t="inlineStr">
        <is>
          <t>Must Have</t>
        </is>
      </c>
      <c r="U53" s="12" t="inlineStr">
        <is>
          <t>MVP</t>
        </is>
      </c>
      <c r="V53" s="34" t="n">
        <v>3</v>
      </c>
      <c r="W53" s="12" t="inlineStr">
        <is>
          <t>S03-S04</t>
        </is>
      </c>
      <c r="X53" s="12" t="inlineStr">
        <is>
          <t>Done</t>
        </is>
      </c>
      <c r="Y53" s="13">
        <f>IF(X53="Done",1,IF(X53="QA",0.9,IF(X53="Code Review",0.75,IF(X53="In Development",0.5,IF(X53="Ready",0.1,0)))))</f>
        <v/>
      </c>
      <c r="Z53" s="12" t="n"/>
      <c r="AA53" s="12" t="inlineStr">
        <is>
          <t>TC-011-A</t>
        </is>
      </c>
      <c r="AB53" s="12" t="inlineStr">
        <is>
          <t>Approved screen design; story reviewed with Property Admin; dependencies, API contract, role permissions and test data identified.</t>
        </is>
      </c>
      <c r="AC53" s="12" t="inlineStr">
        <is>
          <t>Code reviewed; unit, API, UI, RBAC and integration tests pass; accessibility and responsive states verified; audit evidence captured; product owner accepts in staging.</t>
        </is>
      </c>
      <c r="AD53" s="12" t="inlineStr">
        <is>
          <t>Room Details (mockup 011) at /rooms/:roomId — now the target of the room card's View action and of screen 064's 'Room N' breadcrumb and 'Back to Room', both of which previously dropped the user straight into the edit form. GET /rooms/{id}/overview drives the header, gallery, Overview tab and right rail: breadcrumb from the linked building/floor names (falling back to the free-text fields), room type, size, capacity, view, bed type and base rate. Gallery shows the room's own photos and falls back to the room type's when it has none, with prev/next, a 1/N counter, a '+N more' badge and a lightbox. RBAC rooms.view; unknown room 404, cross-property 403.</t>
        </is>
      </c>
    </row>
    <row r="54" ht="78" customHeight="1" s="43">
      <c r="A54" s="11" t="n">
        <v>1</v>
      </c>
      <c r="B54" s="11" t="n">
        <v>50</v>
      </c>
      <c r="C54" s="12" t="inlineStr">
        <is>
          <t>US-011-02</t>
        </is>
      </c>
      <c r="D54" s="12" t="inlineStr">
        <is>
          <t>Complete the primary Room Details workflow</t>
        </is>
      </c>
      <c r="E54" s="12" t="inlineStr">
        <is>
          <t>EPIC-05</t>
        </is>
      </c>
      <c r="F54" s="12" t="inlineStr">
        <is>
          <t>Property &amp; Rooms</t>
        </is>
      </c>
      <c r="G54" s="12" t="inlineStr">
        <is>
          <t>Room Details</t>
        </is>
      </c>
      <c r="H54" s="11" t="inlineStr">
        <is>
          <t>SCR-011</t>
        </is>
      </c>
      <c r="I54" s="12" t="inlineStr">
        <is>
          <t>Room Details</t>
        </is>
      </c>
      <c r="J54" s="12" t="inlineStr">
        <is>
          <t>Primary Workflow</t>
        </is>
      </c>
      <c r="K54" s="12" t="inlineStr">
        <is>
          <t>Property Admin</t>
        </is>
      </c>
      <c r="L54" s="12" t="inlineStr">
        <is>
          <t>As a Property Admin, I want to list, search, filter, view, create, edit, cancel/delete under policy, export in Room Details, so that the room details process is completed accurately without duplicate or inconsistent records.</t>
        </is>
      </c>
      <c r="M54" s="12" t="inlineStr">
        <is>
          <t>Enable property &amp; rooms users to manage room details through the Room Details workflow with real-time status, validations and traceability.</t>
        </is>
      </c>
      <c r="N54" s="12" t="inlineStr">
        <is>
          <t>View access confirmed; required masters and linked records exist; Administration services are available; approval limit is valid.</t>
        </is>
      </c>
      <c r="O5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room details workflow; invalid or conflicting actions are blocked with clear messages; saved changes appear in related screens; sensitive changes are auditable.</t>
        </is>
      </c>
      <c r="P54" s="12" t="inlineStr">
        <is>
          <t>Duplicate submission is idempotent; stale data returns a refresh/conflict message; invalid status transitions are blocked; partial failure rolls back without orphan records.</t>
        </is>
      </c>
      <c r="Q54" s="12" t="inlineStr">
        <is>
          <t>Tenant/property scope; required fields; optimistic locking; timezone-safe dates; reason mandatory for overrides; valid status transition; linked-record integrity</t>
        </is>
      </c>
      <c r="R54" s="12" t="inlineStr">
        <is>
          <t>Administration</t>
        </is>
      </c>
      <c r="S54" s="12" t="inlineStr">
        <is>
          <t>GET, POST, PUT/PATCH, DELETE /api/v1/room-details; lookup, validation and audit endpoints; idempotency for financial/booking writes; entities: properties, buildings, floors, room_types, rooms, amenities</t>
        </is>
      </c>
      <c r="T54" s="12" t="inlineStr">
        <is>
          <t>Must Have</t>
        </is>
      </c>
      <c r="U54" s="12" t="inlineStr">
        <is>
          <t>MVP</t>
        </is>
      </c>
      <c r="V54" s="34" t="n">
        <v>5</v>
      </c>
      <c r="W54" s="12" t="inlineStr">
        <is>
          <t>S03-S04</t>
        </is>
      </c>
      <c r="X54" s="12" t="inlineStr">
        <is>
          <t>Done</t>
        </is>
      </c>
      <c r="Y54" s="13">
        <f>IF(X54="Done",1,IF(X54="QA",0.9,IF(X54="Code Review",0.75,IF(X54="In Development",0.5,IF(X54="Ready",0.1,0)))))</f>
        <v/>
      </c>
      <c r="Z54" s="12" t="n"/>
      <c r="AA54" s="12" t="inlineStr">
        <is>
          <t>TC-011-B</t>
        </is>
      </c>
      <c r="AB54" s="12" t="inlineStr">
        <is>
          <t>Approved screen design; story reviewed with Property Admin; dependencies, API contract, role permissions and test data identified.</t>
        </is>
      </c>
      <c r="AC54" s="12" t="inlineStr">
        <is>
          <t>Code reviewed; unit, API, UI, RBAC and integration tests pass; accessibility and responsive states verified; audit evidence captured; product owner accepts in staging.</t>
        </is>
      </c>
      <c r="AD54" s="12" t="inlineStr">
        <is>
          <t>Six tabs, each reading the record that already owns the data rather than a second copy: Overview (room + amenities), Reservations (GET /rooms/{id}/reservations - every unit assigned to the room, newest first), Housekeeping and Activity Log (the 064 status timeline, the former narrowed to clean/dirty/cleaning/inspected), Maintenance (GET /rooms/{id}/maintenance - blocks held against the room). Charges is an explicit empty state: folio and billing are not built, and the tab says so rather than showing invented figures. VERIFIED live on rooms 101 and 106, all six tabs. Upcoming Booking verified by temporarily assigning unit CBR24107 to room 101: panel showed the number, Sun 06 Sep -&gt; Wed 09 Sep 2026, 3 nights, 2 adults, Confirmed, and room status moved Available -&gt; Reserved. Assignment then reverted.</t>
        </is>
      </c>
    </row>
    <row r="55" ht="78" customHeight="1" s="43">
      <c r="A55" s="11" t="n">
        <v>1</v>
      </c>
      <c r="B55" s="11" t="n">
        <v>51</v>
      </c>
      <c r="C55" s="12" t="inlineStr">
        <is>
          <t>US-011-03</t>
        </is>
      </c>
      <c r="D55" s="12" t="inlineStr">
        <is>
          <t>Control permissions, overrides and audit for Room Details</t>
        </is>
      </c>
      <c r="E55" s="12" t="inlineStr">
        <is>
          <t>EPIC-05</t>
        </is>
      </c>
      <c r="F55" s="12" t="inlineStr">
        <is>
          <t>Property &amp; Rooms</t>
        </is>
      </c>
      <c r="G55" s="12" t="inlineStr">
        <is>
          <t>Room Details</t>
        </is>
      </c>
      <c r="H55" s="11" t="inlineStr">
        <is>
          <t>SCR-011</t>
        </is>
      </c>
      <c r="I55" s="12" t="inlineStr">
        <is>
          <t>Room Details</t>
        </is>
      </c>
      <c r="J55" s="12" t="inlineStr">
        <is>
          <t>Security / Exceptions</t>
        </is>
      </c>
      <c r="K55" s="12" t="inlineStr">
        <is>
          <t>Property Admin</t>
        </is>
      </c>
      <c r="L55" s="12" t="inlineStr">
        <is>
          <t>As a department supervisor or auditor, I want sensitive actions in Room Details to follow permissions, approval limits and audit rules, so that resort operations remain secure, compliant and traceable.</t>
        </is>
      </c>
      <c r="M55" s="12" t="inlineStr">
        <is>
          <t>Reduces fraud, privacy leakage, unauthorized overrides and unresolved operational disputes.</t>
        </is>
      </c>
      <c r="N55" s="12" t="inlineStr">
        <is>
          <t>Roles, permissions, approval hierarchy and audit service are configured; allowed and denied test users exist.</t>
        </is>
      </c>
      <c r="O5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55" s="12" t="inlineStr">
        <is>
          <t>Tampered IDs, expired sessions, approval-limit violations and cross-tenant requests are rejected; secrets and sensitive guest/payment fields are never written to logs.</t>
        </is>
      </c>
      <c r="Q55" s="12" t="inlineStr">
        <is>
          <t>Tenant/property scope; required fields; optimistic locking; timezone-safe dates; reason mandatory for overrides; valid status transition; linked-record integrity</t>
        </is>
      </c>
      <c r="R55" s="12" t="inlineStr">
        <is>
          <t>Administration</t>
        </is>
      </c>
      <c r="S55" s="12" t="inlineStr">
        <is>
          <t>GET, POST, PUT/PATCH, DELETE /api/v1/room-details; lookup, validation and audit endpoints; idempotency for financial/booking writes; entities: properties, buildings, floors, room_types, rooms, amenities</t>
        </is>
      </c>
      <c r="T55" s="12" t="inlineStr">
        <is>
          <t>Must Have</t>
        </is>
      </c>
      <c r="U55" s="12" t="inlineStr">
        <is>
          <t>MVP</t>
        </is>
      </c>
      <c r="V55" s="34" t="n">
        <v>3</v>
      </c>
      <c r="W55" s="12" t="inlineStr">
        <is>
          <t>S03-S04</t>
        </is>
      </c>
      <c r="X55" s="12" t="inlineStr">
        <is>
          <t>Done</t>
        </is>
      </c>
      <c r="Y55" s="13">
        <f>IF(X55="Done",1,IF(X55="QA",0.9,IF(X55="Code Review",0.75,IF(X55="In Development",0.5,IF(X55="Ready",0.1,0)))))</f>
        <v/>
      </c>
      <c r="Z55" s="12" t="n"/>
      <c r="AA55" s="12" t="inlineStr">
        <is>
          <t>TC-011-C</t>
        </is>
      </c>
      <c r="AB55" s="12" t="inlineStr">
        <is>
          <t>Approved screen design; story reviewed with Property Admin; dependencies, API contract, role permissions and test data identified.</t>
        </is>
      </c>
      <c r="AC55" s="12" t="inlineStr">
        <is>
          <t>Code reviewed; unit, API, UI, RBAC and integration tests pass; accessibility and responsive states verified; audit evidence captured; product owner accepts in staging.</t>
        </is>
      </c>
      <c r="AD55" s="12" t="inlineStr">
        <is>
          <t>Actions delegate to the screens that own them: Edit Room -&gt; 059, Block Room and Mark Out of Order -&gt; the 063 block API. The block dialog was extracted from screen 008 into components/BlockDialog.tsx and is now shared by both screens, so a block raised from either place applies the same rules. VERIFIED: blocking room 101 while it held a reservation was refused by the GiST exclusion constraint and the dialog showed 'Room 101 is already reserved or blocked between 2026-09-08 and 2026-09-08' instead of closing; blocking free room 106 moved it Available -&gt; Out of Order and swapped the button to Release Block with Mark Out of Order disabled; releasing returned it to Available and left the episode on the Maintenance tab as 'ended'. Status chips are colour- and icon-coded per state so a blocked room can never render as a green tick. Read-only screen: no write endpoint added. RBAC rooms.view on all three endpoints (401 anonymous, 403 without permission, 403 cross-property, 404 unknown room).</t>
        </is>
      </c>
    </row>
    <row r="56" ht="78" customHeight="1" s="43">
      <c r="A56" s="11" t="n">
        <v>1</v>
      </c>
      <c r="B56" s="11" t="n">
        <v>52</v>
      </c>
      <c r="C56" s="12" t="inlineStr">
        <is>
          <t>US-024-01</t>
        </is>
      </c>
      <c r="D56" s="12" t="inlineStr">
        <is>
          <t>View and find information in Channel Manager</t>
        </is>
      </c>
      <c r="E56" s="12" t="inlineStr">
        <is>
          <t>EPIC-18</t>
        </is>
      </c>
      <c r="F56" s="12" t="inlineStr">
        <is>
          <t>Distribution</t>
        </is>
      </c>
      <c r="G56" s="12" t="inlineStr">
        <is>
          <t>Channel Manager</t>
        </is>
      </c>
      <c r="H56" s="11" t="inlineStr">
        <is>
          <t>SCR-024</t>
        </is>
      </c>
      <c r="I56" s="12" t="inlineStr">
        <is>
          <t>Channel Manager</t>
        </is>
      </c>
      <c r="J56" s="12" t="inlineStr">
        <is>
          <t>View / Search</t>
        </is>
      </c>
      <c r="K56" s="12" t="inlineStr">
        <is>
          <t>Revenue Manager</t>
        </is>
      </c>
      <c r="L56" s="12" t="inlineStr">
        <is>
          <t>As a Revenue Manager, I want to open Channel Manager and find relevant records using search, filters and sorting, so that I can make accurate operational decisions.</t>
        </is>
      </c>
      <c r="M56" s="12" t="inlineStr">
        <is>
          <t>Provides timely visibility for channel manager and reduces manual lookup effort.</t>
        </is>
      </c>
      <c r="N56" s="12" t="inlineStr">
        <is>
          <t>Authenticated user; active property; view permission for Distribution; Rates, Rooms, Reservations data available.</t>
        </is>
      </c>
      <c r="O56" s="12" t="inlineStr">
        <is>
          <t>Given I am authenticated as Revenue Manager with access to the selected property, when I open Channel Manager,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56" s="12" t="inlineStr">
        <is>
          <t>Cross-property data never appears; unauthorized fields are masked; invalid filters do not break the screen; unavailable services return a controlled message.</t>
        </is>
      </c>
      <c r="Q56" s="12" t="inlineStr">
        <is>
          <t>Tenant/property scope; required fields; optimistic locking; timezone-safe dates; reason mandatory for overrides; valid status transition; linked-record integrity</t>
        </is>
      </c>
      <c r="R56" s="12" t="inlineStr">
        <is>
          <t>Rates, Rooms, Reservations</t>
        </is>
      </c>
      <c r="S56" s="12" t="inlineStr">
        <is>
          <t>GET, POST, PUT/PATCH, DELETE /api/v1/channel-manager; lookup, validation and audit endpoints; idempotency for financial/booking writes; entities: channels, channel_mappings, sync_jobs, restrictions</t>
        </is>
      </c>
      <c r="T56" s="12" t="inlineStr">
        <is>
          <t>Must Have</t>
        </is>
      </c>
      <c r="U56" s="12" t="inlineStr">
        <is>
          <t>MVP</t>
        </is>
      </c>
      <c r="V56" s="34" t="n">
        <v>3</v>
      </c>
      <c r="W56" s="12" t="inlineStr">
        <is>
          <t>S03-S04</t>
        </is>
      </c>
      <c r="X56" s="12" t="inlineStr">
        <is>
          <t>Backlog</t>
        </is>
      </c>
      <c r="Y56" s="13">
        <f>IF(X56="Done",1,IF(X56="QA",0.9,IF(X56="Code Review",0.75,IF(X56="In Development",0.5,IF(X56="Ready",0.1,0)))))</f>
        <v/>
      </c>
      <c r="Z56" s="12" t="n"/>
      <c r="AA56" s="12" t="inlineStr">
        <is>
          <t>TC-024-A</t>
        </is>
      </c>
      <c r="AB56" s="12" t="inlineStr">
        <is>
          <t>Approved screen design; story reviewed with Revenue Manager; dependencies, API contract, role permissions and test data identified.</t>
        </is>
      </c>
      <c r="AC56" s="12" t="inlineStr">
        <is>
          <t>Code reviewed; unit, API, UI, RBAC and integration tests pass; accessibility and responsive states verified; audit evidence captured; product owner accepts in staging.</t>
        </is>
      </c>
      <c r="AD56" s="12" t="n"/>
    </row>
    <row r="57" ht="78" customHeight="1" s="43">
      <c r="A57" s="11" t="n">
        <v>1</v>
      </c>
      <c r="B57" s="11" t="n">
        <v>53</v>
      </c>
      <c r="C57" s="12" t="inlineStr">
        <is>
          <t>US-024-02</t>
        </is>
      </c>
      <c r="D57" s="12" t="inlineStr">
        <is>
          <t>Complete the primary Channel Manager workflow</t>
        </is>
      </c>
      <c r="E57" s="12" t="inlineStr">
        <is>
          <t>EPIC-18</t>
        </is>
      </c>
      <c r="F57" s="12" t="inlineStr">
        <is>
          <t>Distribution</t>
        </is>
      </c>
      <c r="G57" s="12" t="inlineStr">
        <is>
          <t>Channel Manager</t>
        </is>
      </c>
      <c r="H57" s="11" t="inlineStr">
        <is>
          <t>SCR-024</t>
        </is>
      </c>
      <c r="I57" s="12" t="inlineStr">
        <is>
          <t>Channel Manager</t>
        </is>
      </c>
      <c r="J57" s="12" t="inlineStr">
        <is>
          <t>Primary Workflow</t>
        </is>
      </c>
      <c r="K57" s="12" t="inlineStr">
        <is>
          <t>Revenue Manager</t>
        </is>
      </c>
      <c r="L57" s="12" t="inlineStr">
        <is>
          <t>As a Revenue Manager, I want to list, search, filter, view, create, edit, cancel/delete under policy, export in Channel Manager, so that the channel manager process is completed accurately without duplicate or inconsistent records.</t>
        </is>
      </c>
      <c r="M57" s="12" t="inlineStr">
        <is>
          <t>Enable distribution users to manage channel manager through the Channel Manager workflow with real-time status, validations and traceability.</t>
        </is>
      </c>
      <c r="N57" s="12" t="inlineStr">
        <is>
          <t>View access confirmed; required masters and linked records exist; Rates, Rooms, Reservations services are available; approval limit is valid.</t>
        </is>
      </c>
      <c r="O5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channel manager workflow; invalid or conflicting actions are blocked with clear messages; saved changes appear in related screens; sensitive changes are auditable.</t>
        </is>
      </c>
      <c r="P57" s="12" t="inlineStr">
        <is>
          <t>Duplicate submission is idempotent; stale data returns a refresh/conflict message; invalid status transitions are blocked; partial failure rolls back without orphan records.</t>
        </is>
      </c>
      <c r="Q57" s="12" t="inlineStr">
        <is>
          <t>Tenant/property scope; required fields; optimistic locking; timezone-safe dates; reason mandatory for overrides; valid status transition; linked-record integrity</t>
        </is>
      </c>
      <c r="R57" s="12" t="inlineStr">
        <is>
          <t>Rates, Rooms, Reservations</t>
        </is>
      </c>
      <c r="S57" s="12" t="inlineStr">
        <is>
          <t>GET, POST, PUT/PATCH, DELETE /api/v1/channel-manager; lookup, validation and audit endpoints; idempotency for financial/booking writes; entities: channels, channel_mappings, sync_jobs, restrictions</t>
        </is>
      </c>
      <c r="T57" s="12" t="inlineStr">
        <is>
          <t>Must Have</t>
        </is>
      </c>
      <c r="U57" s="12" t="inlineStr">
        <is>
          <t>MVP</t>
        </is>
      </c>
      <c r="V57" s="34" t="n">
        <v>8</v>
      </c>
      <c r="W57" s="12" t="inlineStr">
        <is>
          <t>S03-S04</t>
        </is>
      </c>
      <c r="X57" s="12" t="inlineStr">
        <is>
          <t>Backlog</t>
        </is>
      </c>
      <c r="Y57" s="13">
        <f>IF(X57="Done",1,IF(X57="QA",0.9,IF(X57="Code Review",0.75,IF(X57="In Development",0.5,IF(X57="Ready",0.1,0)))))</f>
        <v/>
      </c>
      <c r="Z57" s="12" t="n"/>
      <c r="AA57" s="12" t="inlineStr">
        <is>
          <t>TC-024-B</t>
        </is>
      </c>
      <c r="AB57" s="12" t="inlineStr">
        <is>
          <t>Approved screen design; story reviewed with Revenue Manager; dependencies, API contract, role permissions and test data identified.</t>
        </is>
      </c>
      <c r="AC57" s="12" t="inlineStr">
        <is>
          <t>Code reviewed; unit, API, UI, RBAC and integration tests pass; accessibility and responsive states verified; audit evidence captured; product owner accepts in staging.</t>
        </is>
      </c>
      <c r="AD57" s="12" t="n"/>
    </row>
    <row r="58" ht="78" customHeight="1" s="43">
      <c r="A58" s="11" t="n">
        <v>1</v>
      </c>
      <c r="B58" s="11" t="n">
        <v>54</v>
      </c>
      <c r="C58" s="12" t="inlineStr">
        <is>
          <t>US-024-03</t>
        </is>
      </c>
      <c r="D58" s="12" t="inlineStr">
        <is>
          <t>Control permissions, overrides and audit for Channel Manager</t>
        </is>
      </c>
      <c r="E58" s="12" t="inlineStr">
        <is>
          <t>EPIC-18</t>
        </is>
      </c>
      <c r="F58" s="12" t="inlineStr">
        <is>
          <t>Distribution</t>
        </is>
      </c>
      <c r="G58" s="12" t="inlineStr">
        <is>
          <t>Channel Manager</t>
        </is>
      </c>
      <c r="H58" s="11" t="inlineStr">
        <is>
          <t>SCR-024</t>
        </is>
      </c>
      <c r="I58" s="12" t="inlineStr">
        <is>
          <t>Channel Manager</t>
        </is>
      </c>
      <c r="J58" s="12" t="inlineStr">
        <is>
          <t>Security / Exceptions</t>
        </is>
      </c>
      <c r="K58" s="12" t="inlineStr">
        <is>
          <t>Revenue Manager</t>
        </is>
      </c>
      <c r="L58" s="12" t="inlineStr">
        <is>
          <t>As a department supervisor or auditor, I want sensitive actions in Channel Manager to follow permissions, approval limits and audit rules, so that resort operations remain secure, compliant and traceable.</t>
        </is>
      </c>
      <c r="M58" s="12" t="inlineStr">
        <is>
          <t>Reduces fraud, privacy leakage, unauthorized overrides and unresolved operational disputes.</t>
        </is>
      </c>
      <c r="N58" s="12" t="inlineStr">
        <is>
          <t>Roles, permissions, approval hierarchy and audit service are configured; allowed and denied test users exist.</t>
        </is>
      </c>
      <c r="O5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58" s="12" t="inlineStr">
        <is>
          <t>Tampered IDs, expired sessions, approval-limit violations and cross-tenant requests are rejected; secrets and sensitive guest/payment fields are never written to logs.</t>
        </is>
      </c>
      <c r="Q58" s="12" t="inlineStr">
        <is>
          <t>Tenant/property scope; required fields; optimistic locking; timezone-safe dates; reason mandatory for overrides; valid status transition; linked-record integrity</t>
        </is>
      </c>
      <c r="R58" s="12" t="inlineStr">
        <is>
          <t>Rates, Rooms, Reservations</t>
        </is>
      </c>
      <c r="S58" s="12" t="inlineStr">
        <is>
          <t>GET, POST, PUT/PATCH, DELETE /api/v1/channel-manager; lookup, validation and audit endpoints; idempotency for financial/booking writes; entities: channels, channel_mappings, sync_jobs, restrictions</t>
        </is>
      </c>
      <c r="T58" s="12" t="inlineStr">
        <is>
          <t>Must Have</t>
        </is>
      </c>
      <c r="U58" s="12" t="inlineStr">
        <is>
          <t>MVP</t>
        </is>
      </c>
      <c r="V58" s="34" t="n">
        <v>5</v>
      </c>
      <c r="W58" s="12" t="inlineStr">
        <is>
          <t>S03-S04</t>
        </is>
      </c>
      <c r="X58" s="12" t="inlineStr">
        <is>
          <t>Backlog</t>
        </is>
      </c>
      <c r="Y58" s="13">
        <f>IF(X58="Done",1,IF(X58="QA",0.9,IF(X58="Code Review",0.75,IF(X58="In Development",0.5,IF(X58="Ready",0.1,0)))))</f>
        <v/>
      </c>
      <c r="Z58" s="12" t="n"/>
      <c r="AA58" s="12" t="inlineStr">
        <is>
          <t>TC-024-C</t>
        </is>
      </c>
      <c r="AB58" s="12" t="inlineStr">
        <is>
          <t>Approved screen design; story reviewed with Revenue Manager; dependencies, API contract, role permissions and test data identified.</t>
        </is>
      </c>
      <c r="AC58" s="12" t="inlineStr">
        <is>
          <t>Code reviewed; unit, API, UI, RBAC and integration tests pass; accessibility and responsive states verified; audit evidence captured; product owner accepts in staging.</t>
        </is>
      </c>
      <c r="AD58" s="12" t="n"/>
    </row>
    <row r="59" ht="78" customHeight="1" s="43">
      <c r="A59" s="11" t="n">
        <v>1</v>
      </c>
      <c r="B59" s="11" t="n">
        <v>55</v>
      </c>
      <c r="C59" s="12" t="inlineStr">
        <is>
          <t>US-033-01</t>
        </is>
      </c>
      <c r="D59" s="12" t="inlineStr">
        <is>
          <t>View and find information in Rate Plans</t>
        </is>
      </c>
      <c r="E59" s="12" t="inlineStr">
        <is>
          <t>EPIC-22</t>
        </is>
      </c>
      <c r="F59" s="12" t="inlineStr">
        <is>
          <t>Revenue Management</t>
        </is>
      </c>
      <c r="G59" s="12" t="inlineStr">
        <is>
          <t>Rate Plans</t>
        </is>
      </c>
      <c r="H59" s="11" t="inlineStr">
        <is>
          <t>SCR-033</t>
        </is>
      </c>
      <c r="I59" s="12" t="inlineStr">
        <is>
          <t>Rate Plans</t>
        </is>
      </c>
      <c r="J59" s="12" t="inlineStr">
        <is>
          <t>View / Search</t>
        </is>
      </c>
      <c r="K59" s="12" t="inlineStr">
        <is>
          <t>Revenue Manager</t>
        </is>
      </c>
      <c r="L59" s="12" t="inlineStr">
        <is>
          <t>As a Revenue Manager, I want to open Rate Plans and find relevant records using search, filters and sorting, so that I can make accurate operational decisions.</t>
        </is>
      </c>
      <c r="M59" s="12" t="inlineStr">
        <is>
          <t>Provides timely visibility for rate plans and reduces manual lookup effort.</t>
        </is>
      </c>
      <c r="N59" s="12" t="inlineStr">
        <is>
          <t>Authenticated user; active property; view permission for Revenue Management; Rooms, Distribution, Reservations data available.</t>
        </is>
      </c>
      <c r="O59" s="12" t="inlineStr">
        <is>
          <t>Given I am authenticated as Revenue Manager with access to the selected property, when I open Rate Plans,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59" s="12" t="inlineStr">
        <is>
          <t>Cross-property data never appears; unauthorized fields are masked; invalid filters do not break the screen; unavailable services return a controlled message.</t>
        </is>
      </c>
      <c r="Q59" s="12" t="inlineStr">
        <is>
          <t>Tenant/property scope; required fields; optimistic locking; timezone-safe dates; reason mandatory for overrides; currency precision; tax/rate totals; approval limit; no unbalanced or duplicate posting</t>
        </is>
      </c>
      <c r="R59" s="12" t="inlineStr">
        <is>
          <t>Rooms, Distribution, Reservations</t>
        </is>
      </c>
      <c r="S59" s="12" t="inlineStr">
        <is>
          <t>GET, POST, PUT/PATCH, DELETE /api/v1/rate-plans; lookup, validation and audit endpoints; idempotency for financial/booking writes; entities: rate_plans, rate_rules, packages, restrictions, inventory_controls</t>
        </is>
      </c>
      <c r="T59" s="12" t="inlineStr">
        <is>
          <t>Must Have</t>
        </is>
      </c>
      <c r="U59" s="12" t="inlineStr">
        <is>
          <t>MVP</t>
        </is>
      </c>
      <c r="V59" s="34" t="n">
        <v>3</v>
      </c>
      <c r="W59" s="12" t="inlineStr">
        <is>
          <t>S03-S04</t>
        </is>
      </c>
      <c r="X59" s="12" t="inlineStr">
        <is>
          <t>Done</t>
        </is>
      </c>
      <c r="Y59" s="13">
        <f>IF(X59="Done",1,IF(X59="QA",0.9,IF(X59="Code Review",0.75,IF(X59="In Development",0.5,IF(X59="Ready",0.1,0)))))</f>
        <v/>
      </c>
      <c r="Z59" s="12" t="n"/>
      <c r="AA59" s="12" t="inlineStr">
        <is>
          <t>TC-033-A</t>
        </is>
      </c>
      <c r="AB59" s="12" t="inlineStr">
        <is>
          <t>Approved screen design; story reviewed with Revenue Manager; dependencies, API contract, role permissions and test data identified.</t>
        </is>
      </c>
      <c r="AC59" s="12" t="inlineStr">
        <is>
          <t>Code reviewed; unit, API, UI, RBAC and integration tests pass; accessibility and responsive states verified; audit evidence captured; product owner accepts in staging.</t>
        </is>
      </c>
      <c r="AD59" s="12" t="inlineStr">
        <is>
          <t>Rate Plans (mockup 033) at /rates, plus the previously-empty Rate Plans tab on Rooms &amp; Villas (008) which now renders the same component with its page heading suppressed. New sidebar item 'Rates'. Migration 0010 adds property.meal_plans, property.rate_plans and property.rate_plan_room_types. KEY MODELLING DECISION: a rate plan stores an ADJUSTMENT to the room type's base rate, never a price of its own, so the 'From' figure on each card is computed in SQL on read and changing a room type's base rate moves every plan built on it - there is no second copy of the price to go stale. VERIFIED: base 6500 -&gt; BAR +0% = 6500, BB +15% = 7475, FLEX +8% = 7020, CORP -8% = 5980, NRF -15% = 5525; editing BAR to +12% through the UI moved it to 7280 and back to 6500 on revert. Cards show name, short code, description, cancellation chip, meal plan, guest range, From price, Active badge and an actions menu. All four filters (search, status, meal plan, room type) verified. RBAC rooms.view. FIXED PRICE: a plan can either adjust the room type rate or carry a fixed nightly price (migration 0013, nullable flat_rate where NULL means 'follow the room type'). The drawer offers both as a toggle. DEFECT FIXED: an adjustment-priced plan read only room_types.base_rate and ignored per-date rates set on the Rates &amp; Inventory calendar, so it quoted the wrong price on any repriced night. It now prices off the effective nightly rate - the calendar rate where one exists, the base rate otherwise - taking the lowest across the next 90 days. VERIFIED: pricing 20 Sep at 4000 moved CORP from 5980 to 3680 and NRF from 5525 to 3400; clearing it restored both.</t>
        </is>
      </c>
    </row>
    <row r="60" ht="78" customHeight="1" s="43">
      <c r="A60" s="11" t="n">
        <v>1</v>
      </c>
      <c r="B60" s="11" t="n">
        <v>56</v>
      </c>
      <c r="C60" s="12" t="inlineStr">
        <is>
          <t>US-033-02</t>
        </is>
      </c>
      <c r="D60" s="12" t="inlineStr">
        <is>
          <t>Complete the primary Rate Plans workflow</t>
        </is>
      </c>
      <c r="E60" s="12" t="inlineStr">
        <is>
          <t>EPIC-22</t>
        </is>
      </c>
      <c r="F60" s="12" t="inlineStr">
        <is>
          <t>Revenue Management</t>
        </is>
      </c>
      <c r="G60" s="12" t="inlineStr">
        <is>
          <t>Rate Plans</t>
        </is>
      </c>
      <c r="H60" s="11" t="inlineStr">
        <is>
          <t>SCR-033</t>
        </is>
      </c>
      <c r="I60" s="12" t="inlineStr">
        <is>
          <t>Rate Plans</t>
        </is>
      </c>
      <c r="J60" s="12" t="inlineStr">
        <is>
          <t>Primary Workflow</t>
        </is>
      </c>
      <c r="K60" s="12" t="inlineStr">
        <is>
          <t>Revenue Manager</t>
        </is>
      </c>
      <c r="L60" s="12" t="inlineStr">
        <is>
          <t>As a Revenue Manager, I want to list, search, filter, view, create, edit, cancel/delete under policy, export in Rate Plans, so that the rate plans process is completed accurately without duplicate or inconsistent records.</t>
        </is>
      </c>
      <c r="M60" s="12" t="inlineStr">
        <is>
          <t>Enable revenue management users to manage rate plans through the Rate Plans workflow with real-time status, validations and traceability.</t>
        </is>
      </c>
      <c r="N60" s="12" t="inlineStr">
        <is>
          <t>View access confirmed; required masters and linked records exist; Rooms, Distribution, Reservations services are available; approval limit is valid.</t>
        </is>
      </c>
      <c r="O6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rate plans workflow; invalid or conflicting actions are blocked with clear messages; saved changes appear in related screens; sensitive changes are auditable.</t>
        </is>
      </c>
      <c r="P60" s="12" t="inlineStr">
        <is>
          <t>Duplicate submission is idempotent; stale data returns a refresh/conflict message; invalid status transitions are blocked; partial failure rolls back without orphan records.</t>
        </is>
      </c>
      <c r="Q60" s="12" t="inlineStr">
        <is>
          <t>Tenant/property scope; required fields; optimistic locking; timezone-safe dates; reason mandatory for overrides; currency precision; tax/rate totals; approval limit; no unbalanced or duplicate posting</t>
        </is>
      </c>
      <c r="R60" s="12" t="inlineStr">
        <is>
          <t>Rooms, Distribution, Reservations</t>
        </is>
      </c>
      <c r="S60" s="12" t="inlineStr">
        <is>
          <t>GET, POST, PUT/PATCH, DELETE /api/v1/rate-plans; lookup, validation and audit endpoints; idempotency for financial/booking writes; entities: rate_plans, rate_rules, packages, restrictions, inventory_controls</t>
        </is>
      </c>
      <c r="T60" s="12" t="inlineStr">
        <is>
          <t>Must Have</t>
        </is>
      </c>
      <c r="U60" s="12" t="inlineStr">
        <is>
          <t>MVP</t>
        </is>
      </c>
      <c r="V60" s="34" t="n">
        <v>8</v>
      </c>
      <c r="W60" s="12" t="inlineStr">
        <is>
          <t>S03-S04</t>
        </is>
      </c>
      <c r="X60" s="12" t="inlineStr">
        <is>
          <t>Done</t>
        </is>
      </c>
      <c r="Y60" s="13">
        <f>IF(X60="Done",1,IF(X60="QA",0.9,IF(X60="Code Review",0.75,IF(X60="In Development",0.5,IF(X60="Ready",0.1,0)))))</f>
        <v/>
      </c>
      <c r="Z60" s="12" t="n"/>
      <c r="AA60" s="12" t="inlineStr">
        <is>
          <t>TC-033-B</t>
        </is>
      </c>
      <c r="AB60" s="12" t="inlineStr">
        <is>
          <t>Approved screen design; story reviewed with Revenue Manager; dependencies, API contract, role permissions and test data identified.</t>
        </is>
      </c>
      <c r="AC60" s="12" t="inlineStr">
        <is>
          <t>Code reviewed; unit, API, UI, RBAC and integration tests pass; accessibility and responsive states verified; audit evidence captured; product owner accepts in staging.</t>
        </is>
      </c>
      <c r="AD60" s="12" t="inlineStr">
        <is>
          <t>Four tabs. Rate Plans is the full CRUD. Meal Plans is a real master (RO/BB/HB/FB/AI seeded) because the rate plan form selects one; a meal plan in use by an active rate plan cannot be deactivated (409 naming the count). Corporate Rates is the SAME list filtered to plan_type='corporate' rather than a second entity - the mockup shows 'Corporate BlueWave' among the ordinary plans, so a separate record would mean storing it twice. Taxes is an explicit empty state pointing at screen 118 (Tax and Service Charge Setup), which is not built. Edit drawer matches the mockup: name, short code, description, Base Rate Adjustment with Increase/Decrease + value + %/INR toggle, meal plan, extra adult and child charges, minimum stay, guest range, cancellation policy, Refundable checkbox, plan type, corporate account, room-type scoping (none selected = all room types) and a single image with upload/replace/remove. Duplicate produces '&lt;CODE&gt;-2', '-3' and starts inactive so a copy cannot be sold before review.</t>
        </is>
      </c>
    </row>
    <row r="61" ht="78" customHeight="1" s="43">
      <c r="A61" s="11" t="n">
        <v>1</v>
      </c>
      <c r="B61" s="11" t="n">
        <v>57</v>
      </c>
      <c r="C61" s="12" t="inlineStr">
        <is>
          <t>US-033-03</t>
        </is>
      </c>
      <c r="D61" s="12" t="inlineStr">
        <is>
          <t>Control permissions, overrides and audit for Rate Plans</t>
        </is>
      </c>
      <c r="E61" s="12" t="inlineStr">
        <is>
          <t>EPIC-22</t>
        </is>
      </c>
      <c r="F61" s="12" t="inlineStr">
        <is>
          <t>Revenue Management</t>
        </is>
      </c>
      <c r="G61" s="12" t="inlineStr">
        <is>
          <t>Rate Plans</t>
        </is>
      </c>
      <c r="H61" s="11" t="inlineStr">
        <is>
          <t>SCR-033</t>
        </is>
      </c>
      <c r="I61" s="12" t="inlineStr">
        <is>
          <t>Rate Plans</t>
        </is>
      </c>
      <c r="J61" s="12" t="inlineStr">
        <is>
          <t>Security / Exceptions</t>
        </is>
      </c>
      <c r="K61" s="12" t="inlineStr">
        <is>
          <t>Revenue Manager</t>
        </is>
      </c>
      <c r="L61" s="12" t="inlineStr">
        <is>
          <t>As a department supervisor or auditor, I want sensitive actions in Rate Plans to follow permissions, approval limits and audit rules, so that resort operations remain secure, compliant and traceable.</t>
        </is>
      </c>
      <c r="M61" s="12" t="inlineStr">
        <is>
          <t>Reduces fraud, privacy leakage, unauthorized overrides and unresolved operational disputes.</t>
        </is>
      </c>
      <c r="N61" s="12" t="inlineStr">
        <is>
          <t>Roles, permissions, approval hierarchy and audit service are configured; allowed and denied test users exist.</t>
        </is>
      </c>
      <c r="O6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61" s="12" t="inlineStr">
        <is>
          <t>Tampered IDs, expired sessions, approval-limit violations and cross-tenant requests are rejected; secrets and sensitive guest/payment fields are never written to logs.</t>
        </is>
      </c>
      <c r="Q61" s="12" t="inlineStr">
        <is>
          <t>Tenant/property scope; required fields; optimistic locking; timezone-safe dates; reason mandatory for overrides; currency precision; tax/rate totals; approval limit; no unbalanced or duplicate posting</t>
        </is>
      </c>
      <c r="R61" s="12" t="inlineStr">
        <is>
          <t>Rooms, Distribution, Reservations</t>
        </is>
      </c>
      <c r="S61" s="12" t="inlineStr">
        <is>
          <t>GET, POST, PUT/PATCH, DELETE /api/v1/rate-plans; lookup, validation and audit endpoints; idempotency for financial/booking writes; entities: rate_plans, rate_rules, packages, restrictions, inventory_controls</t>
        </is>
      </c>
      <c r="T61" s="12" t="inlineStr">
        <is>
          <t>Must Have</t>
        </is>
      </c>
      <c r="U61" s="12" t="inlineStr">
        <is>
          <t>MVP</t>
        </is>
      </c>
      <c r="V61" s="34" t="n">
        <v>5</v>
      </c>
      <c r="W61" s="12" t="inlineStr">
        <is>
          <t>S03-S04</t>
        </is>
      </c>
      <c r="X61" s="12" t="inlineStr">
        <is>
          <t>Done</t>
        </is>
      </c>
      <c r="Y61" s="13">
        <f>IF(X61="Done",1,IF(X61="QA",0.9,IF(X61="Code Review",0.75,IF(X61="In Development",0.5,IF(X61="Ready",0.1,0)))))</f>
        <v/>
      </c>
      <c r="Z61" s="12" t="n"/>
      <c r="AA61" s="12" t="inlineStr">
        <is>
          <t>TC-033-C</t>
        </is>
      </c>
      <c r="AB61" s="12" t="inlineStr">
        <is>
          <t>Approved screen design; story reviewed with Revenue Manager; dependencies, API contract, role permissions and test data identified.</t>
        </is>
      </c>
      <c r="AC61" s="12" t="inlineStr">
        <is>
          <t>Code reviewed; unit, API, UI, RBAC and integration tests pass; accessibility and responsive states verified; audit evidence captured; product owner accepts in staging.</t>
        </is>
      </c>
      <c r="AD61" s="12" t="inlineStr">
        <is>
          <t>Optimistic locking on version (stale -&gt; 409). Duplicate code -&gt; 409. Audit on create/update/activate/deactivate/duplicate/image. Plans are deactivated, never deleted, because past reservations were sold on their terms. VALIDATION verified, all 422 with a sentence naming the field: percentage discount over 100%, negative adjustment, min_stay 0, max guests below min, non-refundable plan carrying free-cancellation hours, corporate plan with no account, invalid plan_type, negative child charge, room type from another property. The same rules exist as CHECK constraints so the database is the backstop. Composite FKs on (property_id, id) for meal plan and room type links prevent cross-property references. Image upload accepts JPG/PNG/WebP only (text/plain -&gt; 422) and the object is removed from MinIO on delete. RBAC: 401 anonymous, 403 without rooms.view/create/edit, 403 cross-property.</t>
        </is>
      </c>
    </row>
    <row r="62" ht="78" customHeight="1" s="43">
      <c r="A62" s="11" t="n">
        <v>1</v>
      </c>
      <c r="B62" s="11" t="n">
        <v>58</v>
      </c>
      <c r="C62" s="12" t="inlineStr">
        <is>
          <t>US-034-01</t>
        </is>
      </c>
      <c r="D62" s="12" t="inlineStr">
        <is>
          <t>View and find information in Rates Restrictions and Inventory Calendar</t>
        </is>
      </c>
      <c r="E62" s="12" t="inlineStr">
        <is>
          <t>EPIC-22</t>
        </is>
      </c>
      <c r="F62" s="12" t="inlineStr">
        <is>
          <t>Revenue Management</t>
        </is>
      </c>
      <c r="G62" s="12" t="inlineStr">
        <is>
          <t>Rates &amp; Restrictions</t>
        </is>
      </c>
      <c r="H62" s="11" t="inlineStr">
        <is>
          <t>SCR-034</t>
        </is>
      </c>
      <c r="I62" s="12" t="inlineStr">
        <is>
          <t>Rates Restrictions and Inventory Calendar</t>
        </is>
      </c>
      <c r="J62" s="12" t="inlineStr">
        <is>
          <t>View / Search</t>
        </is>
      </c>
      <c r="K62" s="12" t="inlineStr">
        <is>
          <t>Revenue Manager</t>
        </is>
      </c>
      <c r="L62" s="12" t="inlineStr">
        <is>
          <t>As a Revenue Manager, I want to open Rates Restrictions and Inventory Calendar and find relevant records using search, filters and sorting, so that I can make accurate operational decisions.</t>
        </is>
      </c>
      <c r="M62" s="12" t="inlineStr">
        <is>
          <t>Provides timely visibility for rates &amp; restrictions and reduces manual lookup effort.</t>
        </is>
      </c>
      <c r="N62" s="12" t="inlineStr">
        <is>
          <t>Authenticated user; active property; view permission for Revenue Management; Rooms, Distribution, Reservations data available.</t>
        </is>
      </c>
      <c r="O62" s="12" t="inlineStr">
        <is>
          <t>Given I am authenticated as Revenue Manager with access to the selected property, when I open Rates Restrictions and Inventory Calendar,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62" s="12" t="inlineStr">
        <is>
          <t>Cross-property data never appears; unauthorized fields are masked; invalid filters do not break the screen; unavailable services return a controlled message.</t>
        </is>
      </c>
      <c r="Q62" s="12" t="inlineStr">
        <is>
          <t>Tenant/property scope; required fields; optimistic locking; timezone-safe dates; reason mandatory for overrides; currency precision; tax/rate totals; approval limit; no unbalanced or duplicate posting</t>
        </is>
      </c>
      <c r="R62" s="12" t="inlineStr">
        <is>
          <t>Rooms, Distribution, Reservations</t>
        </is>
      </c>
      <c r="S62" s="12" t="inlineStr">
        <is>
          <t>GET, POST, PUT/PATCH, DELETE /api/v1/rates-restrictions-and-inventory-calendar; lookup, validation and audit endpoints; idempotency for financial/booking writes; entities: rate_plans, rate_rules, packages, restrictions, inventory_controls</t>
        </is>
      </c>
      <c r="T62" s="12" t="inlineStr">
        <is>
          <t>Must Have</t>
        </is>
      </c>
      <c r="U62" s="12" t="inlineStr">
        <is>
          <t>MVP</t>
        </is>
      </c>
      <c r="V62" s="34" t="n">
        <v>3</v>
      </c>
      <c r="W62" s="12" t="inlineStr">
        <is>
          <t>S03-S04</t>
        </is>
      </c>
      <c r="X62" s="12" t="inlineStr">
        <is>
          <t>Done</t>
        </is>
      </c>
      <c r="Y62" s="13">
        <f>IF(X62="Done",1,IF(X62="QA",0.9,IF(X62="Code Review",0.75,IF(X62="In Development",0.5,IF(X62="Ready",0.1,0)))))</f>
        <v/>
      </c>
      <c r="Z62" s="12" t="n"/>
      <c r="AA62" s="12" t="inlineStr">
        <is>
          <t>TC-034-A</t>
        </is>
      </c>
      <c r="AB62" s="12" t="inlineStr">
        <is>
          <t>Approved screen design; story reviewed with Revenue Manager; dependencies, API contract, role permissions and test data identified.</t>
        </is>
      </c>
      <c r="AC62" s="12" t="inlineStr">
        <is>
          <t>Code reviewed; unit, API, UI, RBAC and integration tests pass; accessibility and responsive states verified; audit evidence captured; product owner accepts in staging.</t>
        </is>
      </c>
      <c r="AD62" s="12" t="inlineStr">
        <is>
          <t>Rates &amp; Inventory (mockup 034) at /rates/calendar. Rates is now an expandable sidebar group holding Rate Plans (033) and Rates &amp; Inventory (034), as planned when it gained a second screen; /rates redirects to /rates/plans. Migration 0011 adds property.rate_calendar_days, deliberately SPARSE: a row exists only where a date has been overridden, and rate and min_stay are nullable so NULL means 'inherit from the room type' rather than a value that happens to match. A new room type is therefore sellable on every date with no rows, and changing base_rate still moves every untouched date. Grid: one row group per room type (Rate / Available / Min Stay / Stop Sell as four aligned table rows via rowSpan), date columns with weekend tinting, and an Occupancy Forecast row. Overridden cells are visually marked so it is always clear which figures were set by hand. Window capped at 60 days (422 beyond that, and on a backwards range). RATE PLAN VIEW: the toolbar has a plan selector alongside the room type filter. Choosing a plan re-prices every cell as that plan sells it - its flat rate, or the room type's effective rate carrying its adjustment - using the same arithmetic as the plan's headline price, so the two screens cannot disagree. The grid is read-only in that view (rate boxes, min stay, stop sell, date selection, Bulk Update and Copy Rates all disabled) because the figure is derived, with a banner saying so. VERIFIED: room type 6500 -&gt; Best Available Rate (flat 3000) showed 3000; Corporate BlueWave (-8%) showed 5980, and 6578 after the room type was raised to 7150. Unknown plan -&gt; 404. Clearing a cell's last value now deletes the row, so the table keeps meaning 'overrides only'.</t>
        </is>
      </c>
    </row>
    <row r="63" ht="78" customHeight="1" s="43">
      <c r="A63" s="11" t="n">
        <v>1</v>
      </c>
      <c r="B63" s="11" t="n">
        <v>59</v>
      </c>
      <c r="C63" s="12" t="inlineStr">
        <is>
          <t>US-034-02</t>
        </is>
      </c>
      <c r="D63" s="12" t="inlineStr">
        <is>
          <t>Complete the primary Rates Restrictions and Inventory Calendar workflow</t>
        </is>
      </c>
      <c r="E63" s="12" t="inlineStr">
        <is>
          <t>EPIC-22</t>
        </is>
      </c>
      <c r="F63" s="12" t="inlineStr">
        <is>
          <t>Revenue Management</t>
        </is>
      </c>
      <c r="G63" s="12" t="inlineStr">
        <is>
          <t>Rates &amp; Restrictions</t>
        </is>
      </c>
      <c r="H63" s="11" t="inlineStr">
        <is>
          <t>SCR-034</t>
        </is>
      </c>
      <c r="I63" s="12" t="inlineStr">
        <is>
          <t>Rates Restrictions and Inventory Calendar</t>
        </is>
      </c>
      <c r="J63" s="12" t="inlineStr">
        <is>
          <t>Primary Workflow</t>
        </is>
      </c>
      <c r="K63" s="12" t="inlineStr">
        <is>
          <t>Revenue Manager</t>
        </is>
      </c>
      <c r="L63" s="12" t="inlineStr">
        <is>
          <t>As a Revenue Manager, I want to view timeline, filter, create, assign, reschedule, conflict-check, cancel in Rates Restrictions and Inventory Calendar, so that the rates &amp; restrictions process is completed accurately without duplicate or inconsistent records.</t>
        </is>
      </c>
      <c r="M63" s="12" t="inlineStr">
        <is>
          <t>Enable revenue management users to manage rates &amp; restrictions through the Rates Restrictions and Inventory Calendar workflow with real-time status, validations and traceability.</t>
        </is>
      </c>
      <c r="N63" s="12" t="inlineStr">
        <is>
          <t>View access confirmed; required masters and linked records exist; Rooms, Distribution, Reservations services are available; approval limit is valid.</t>
        </is>
      </c>
      <c r="O6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rates restrictions and inventory calendar workflow; invalid or conflicting actions are blocked with clear messages; saved changes appear in related screens; sensitive changes are auditable.</t>
        </is>
      </c>
      <c r="P63" s="12" t="inlineStr">
        <is>
          <t>Duplicate submission is idempotent; stale data returns a refresh/conflict message; invalid status transitions are blocked; partial failure rolls back without orphan records.</t>
        </is>
      </c>
      <c r="Q63" s="12" t="inlineStr">
        <is>
          <t>Tenant/property scope; required fields; optimistic locking; timezone-safe dates; reason mandatory for overrides; currency precision; tax/rate totals; approval limit; no unbalanced or duplicate posting</t>
        </is>
      </c>
      <c r="R63" s="12" t="inlineStr">
        <is>
          <t>Rooms, Distribution, Reservations</t>
        </is>
      </c>
      <c r="S63" s="12" t="inlineStr">
        <is>
          <t>GET, POST, PUT/PATCH, DELETE /api/v1/rates-restrictions-and-inventory-calendar; lookup, validation and audit endpoints; idempotency for financial/booking writes; entities: rate_plans, rate_rules, packages, restrictions, inventory_controls</t>
        </is>
      </c>
      <c r="T63" s="12" t="inlineStr">
        <is>
          <t>Must Have</t>
        </is>
      </c>
      <c r="U63" s="12" t="inlineStr">
        <is>
          <t>MVP</t>
        </is>
      </c>
      <c r="V63" s="34" t="n">
        <v>8</v>
      </c>
      <c r="W63" s="12" t="inlineStr">
        <is>
          <t>S03-S04</t>
        </is>
      </c>
      <c r="X63" s="12" t="inlineStr">
        <is>
          <t>Done</t>
        </is>
      </c>
      <c r="Y63" s="13">
        <f>IF(X63="Done",1,IF(X63="QA",0.9,IF(X63="Code Review",0.75,IF(X63="In Development",0.5,IF(X63="Ready",0.1,0)))))</f>
        <v/>
      </c>
      <c r="Z63" s="12" t="n"/>
      <c r="AA63" s="12" t="inlineStr">
        <is>
          <t>TC-034-B</t>
        </is>
      </c>
      <c r="AB63" s="12" t="inlineStr">
        <is>
          <t>Approved screen design; story reviewed with Revenue Manager; dependencies, API contract, role permissions and test data identified.</t>
        </is>
      </c>
      <c r="AC63" s="12" t="inlineStr">
        <is>
          <t>Code reviewed; unit, API, UI, RBAC and integration tests pass; accessibility and responsive states verified; audit evidence captured; product owner accepts in staging.</t>
        </is>
      </c>
      <c r="AD63" s="12" t="inlineStr">
        <is>
          <t>Availability is DERIVED at read time, never stored: capacity is the live count of active rooms of that type, minus rooms with an active block covering the date, minus reserved/held/allotment from booking.room_type_inventory_days (which the booking path owns). VERIFIED against ground truth: room 102 blocked on 2026-09-08 gave Deluxe Sea View 43 available that day and 44 on every other, and the block is the only active one in the property. Caught and fixed a real bug here: generate_series over dates yields timestamps, so the blocked-rooms lookup keyed by date silently matched nothing and availability ignored blocks entirely. Inline editing verified live: typing 5555 into a cell set an override, clearing the box removed it and the cell fell back to the room type's 6500, and the stop-sell switch toggled. Selects are blurred on wheel so a stray scroll over the dense grid cannot silently write a restriction.</t>
        </is>
      </c>
    </row>
    <row r="64" ht="78" customHeight="1" s="43">
      <c r="A64" s="11" t="n">
        <v>1</v>
      </c>
      <c r="B64" s="11" t="n">
        <v>60</v>
      </c>
      <c r="C64" s="12" t="inlineStr">
        <is>
          <t>US-034-03</t>
        </is>
      </c>
      <c r="D64" s="12" t="inlineStr">
        <is>
          <t>Control permissions, overrides and audit for Rates Restrictions and Inventory Calendar</t>
        </is>
      </c>
      <c r="E64" s="12" t="inlineStr">
        <is>
          <t>EPIC-22</t>
        </is>
      </c>
      <c r="F64" s="12" t="inlineStr">
        <is>
          <t>Revenue Management</t>
        </is>
      </c>
      <c r="G64" s="12" t="inlineStr">
        <is>
          <t>Rates &amp; Restrictions</t>
        </is>
      </c>
      <c r="H64" s="11" t="inlineStr">
        <is>
          <t>SCR-034</t>
        </is>
      </c>
      <c r="I64" s="12" t="inlineStr">
        <is>
          <t>Rates Restrictions and Inventory Calendar</t>
        </is>
      </c>
      <c r="J64" s="12" t="inlineStr">
        <is>
          <t>Security / Exceptions</t>
        </is>
      </c>
      <c r="K64" s="12" t="inlineStr">
        <is>
          <t>Revenue Manager</t>
        </is>
      </c>
      <c r="L64" s="12" t="inlineStr">
        <is>
          <t>As a department supervisor or auditor, I want sensitive actions in Rates Restrictions and Inventory Calendar to follow permissions, approval limits and audit rules, so that resort operations remain secure, compliant and traceable.</t>
        </is>
      </c>
      <c r="M64" s="12" t="inlineStr">
        <is>
          <t>Reduces fraud, privacy leakage, unauthorized overrides and unresolved operational disputes.</t>
        </is>
      </c>
      <c r="N64" s="12" t="inlineStr">
        <is>
          <t>Roles, permissions, approval hierarchy and audit service are configured; allowed and denied test users exist.</t>
        </is>
      </c>
      <c r="O6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64" s="12" t="inlineStr">
        <is>
          <t>Tampered IDs, expired sessions, approval-limit violations and cross-tenant requests are rejected; secrets and sensitive guest/payment fields are never written to logs.</t>
        </is>
      </c>
      <c r="Q64" s="12" t="inlineStr">
        <is>
          <t>Tenant/property scope; required fields; optimistic locking; timezone-safe dates; reason mandatory for overrides; currency precision; tax/rate totals; approval limit; no unbalanced or duplicate posting</t>
        </is>
      </c>
      <c r="R64" s="12" t="inlineStr">
        <is>
          <t>Rooms, Distribution, Reservations</t>
        </is>
      </c>
      <c r="S64" s="12" t="inlineStr">
        <is>
          <t>GET, POST, PUT/PATCH, DELETE /api/v1/rates-restrictions-and-inventory-calendar; lookup, validation and audit endpoints; idempotency for financial/booking writes; entities: rate_plans, rate_rules, packages, restrictions, inventory_controls</t>
        </is>
      </c>
      <c r="T64" s="12" t="inlineStr">
        <is>
          <t>Must Have</t>
        </is>
      </c>
      <c r="U64" s="12" t="inlineStr">
        <is>
          <t>MVP</t>
        </is>
      </c>
      <c r="V64" s="34" t="n">
        <v>5</v>
      </c>
      <c r="W64" s="12" t="inlineStr">
        <is>
          <t>S03-S04</t>
        </is>
      </c>
      <c r="X64" s="12" t="inlineStr">
        <is>
          <t>Done</t>
        </is>
      </c>
      <c r="Y64" s="13">
        <f>IF(X64="Done",1,IF(X64="QA",0.9,IF(X64="Code Review",0.75,IF(X64="In Development",0.5,IF(X64="Ready",0.1,0)))))</f>
        <v/>
      </c>
      <c r="Z64" s="12" t="n"/>
      <c r="AA64" s="12" t="inlineStr">
        <is>
          <t>TC-034-C</t>
        </is>
      </c>
      <c r="AB64" s="12" t="inlineStr">
        <is>
          <t>Approved screen design; story reviewed with Revenue Manager; dependencies, API contract, role permissions and test data identified.</t>
        </is>
      </c>
      <c r="AC64" s="12" t="inlineStr">
        <is>
          <t>Code reviewed; unit, API, UI, RBAC and integration tests pass; accessibility and responsive states verified; audit evidence captured; product owner accepts in staging.</t>
        </is>
      </c>
      <c r="AD64" s="12" t="inlineStr">
        <is>
          <t>The right-hand panel previews and publishes through the SAME request; only preview_only differs, so what the panel promises is what the button does. VERIFIED live end to end: selecting 12-13 Sep (Sat/Sun) and previewing +10% showed Current 6,500 -&gt; New 7,150 per room type and 'will update rates for 4 room types across 2 dates (8 rate cells)' while the grid stayed at 6,500; publishing moved the grid to 7,150 and reported 'Published. 8 rate cells updated.' Bulk can also set min stay and stop sell in the same pass. Copy Rates copies a window forward day by day and refuses an overlapping target (422). Validation, all 422: percentage decrease over 100, negative value, unknown change mode, min stay 0, stop sell with no value, room type outside the property, negative rate, backwards range, window over 60 days. Audit on cell update, bulk update and copy. Yield Rules and Sync Channels are honest notices pointing at screens 119 and 024/120, which are not built. RBAC rooms.view to read, rooms.edit to write (401 anonymous, 403 otherwise).</t>
        </is>
      </c>
    </row>
    <row r="65" ht="78" customHeight="1" s="43">
      <c r="A65" s="11" t="n">
        <v>1</v>
      </c>
      <c r="B65" s="11" t="n">
        <v>61</v>
      </c>
      <c r="C65" s="12" t="inlineStr">
        <is>
          <t>US-035-01</t>
        </is>
      </c>
      <c r="D65" s="12" t="inlineStr">
        <is>
          <t>View and find information in Packages and Promotions</t>
        </is>
      </c>
      <c r="E65" s="12" t="inlineStr">
        <is>
          <t>EPIC-22</t>
        </is>
      </c>
      <c r="F65" s="12" t="inlineStr">
        <is>
          <t>Revenue Management</t>
        </is>
      </c>
      <c r="G65" s="12" t="inlineStr">
        <is>
          <t>Offers</t>
        </is>
      </c>
      <c r="H65" s="11" t="inlineStr">
        <is>
          <t>SCR-035</t>
        </is>
      </c>
      <c r="I65" s="12" t="inlineStr">
        <is>
          <t>Packages and Promotions</t>
        </is>
      </c>
      <c r="J65" s="12" t="inlineStr">
        <is>
          <t>View / Search</t>
        </is>
      </c>
      <c r="K65" s="12" t="inlineStr">
        <is>
          <t>Revenue Manager</t>
        </is>
      </c>
      <c r="L65" s="12" t="inlineStr">
        <is>
          <t>As a Revenue Manager, I want to open Packages and Promotions and find relevant records using search, filters and sorting, so that I can make accurate operational decisions.</t>
        </is>
      </c>
      <c r="M65" s="12" t="inlineStr">
        <is>
          <t>Provides timely visibility for offers and reduces manual lookup effort.</t>
        </is>
      </c>
      <c r="N65" s="12" t="inlineStr">
        <is>
          <t>Authenticated user; active property; view permission for Revenue Management; Rooms, Distribution, Reservations data available.</t>
        </is>
      </c>
      <c r="O65" s="12" t="inlineStr">
        <is>
          <t>Given I am authenticated as Revenue Manager with access to the selected property, when I open Packages and Promotions,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65" s="12" t="inlineStr">
        <is>
          <t>Cross-property data never appears; unauthorized fields are masked; invalid filters do not break the screen; unavailable services return a controlled message.</t>
        </is>
      </c>
      <c r="Q65" s="12" t="inlineStr">
        <is>
          <t>Tenant/property scope; required fields; optimistic locking; timezone-safe dates; reason mandatory for overrides; currency precision; tax/rate totals; approval limit; no unbalanced or duplicate posting</t>
        </is>
      </c>
      <c r="R65" s="12" t="inlineStr">
        <is>
          <t>Rooms, Distribution, Reservations</t>
        </is>
      </c>
      <c r="S65" s="12" t="inlineStr">
        <is>
          <t>GET, POST, PUT/PATCH, DELETE /api/v1/packages-and-promotions; lookup, validation and audit endpoints; idempotency for financial/booking writes; entities: rate_plans, rate_rules, packages, restrictions, inventory_controls</t>
        </is>
      </c>
      <c r="T65" s="12" t="inlineStr">
        <is>
          <t>Must Have</t>
        </is>
      </c>
      <c r="U65" s="12" t="inlineStr">
        <is>
          <t>MVP</t>
        </is>
      </c>
      <c r="V65" s="34" t="n">
        <v>3</v>
      </c>
      <c r="W65" s="12" t="inlineStr">
        <is>
          <t>S03-S04</t>
        </is>
      </c>
      <c r="X65" s="12" t="inlineStr">
        <is>
          <t>Done</t>
        </is>
      </c>
      <c r="Y65" s="13">
        <f>IF(X65="Done",1,IF(X65="QA",0.9,IF(X65="Code Review",0.75,IF(X65="In Development",0.5,IF(X65="Ready",0.1,0)))))</f>
        <v/>
      </c>
      <c r="Z65" s="12" t="n"/>
      <c r="AA65" s="12" t="inlineStr">
        <is>
          <t>TC-035-A</t>
        </is>
      </c>
      <c r="AB65" s="12" t="inlineStr">
        <is>
          <t>Approved screen design; story reviewed with Revenue Manager; dependencies, API contract, role permissions and test data identified.</t>
        </is>
      </c>
      <c r="AC65" s="12" t="inlineStr">
        <is>
          <t>Code reviewed; unit, API, UI, RBAC and integration tests pass; accessibility and responsive states verified; audit evidence captured; product owner accepts in staging.</t>
        </is>
      </c>
      <c r="AD65" s="12" t="inlineStr">
        <is>
          <t>Packages &amp; Promotions (mockup 035) at /rates/packages, third item under the Rates group. Migration 0012 adds property.packages, package_inclusions, package_room_types, addons, promo_codes and promo_redemptions. KEY DECISION: a package prices exactly like a rate plan - it holds an ADJUSTMENT to the room type's base rate, never a price of its own - so the headline 'From' figure is computed and cannot drift from the room it is built on. VERIFIED on the seeded demo packages against the 6500 base: Monsoon Escape +8% = 7020, Corporate Retreat +15% = 7475, Family Weekend +30% = 8450, Honeymoon Bliss +100% = 13000. Featured cards match the mockup: image with optional badge overlay, name, tagline, validity window, From price, tick-listed inclusions, and a Bookings / Revenue / status footer. Room-type scoping follows the same convention as rate plans - selecting none means every room type. RBAC rooms.view. FIXED PRICE: packages take the same flat_rate option as rate plans (migration 0013) with the same toggle in the dialog. The same base-rate defect was fixed here: a package now prices off the effective nightly rate over its own validity window rather than the static base rate. VERIFIED: pricing 20 Sep at 4000 moved Monsoon Escape (+8%) from 7020 to 4320.</t>
        </is>
      </c>
    </row>
    <row r="66" ht="78" customHeight="1" s="43">
      <c r="A66" s="11" t="n">
        <v>1</v>
      </c>
      <c r="B66" s="11" t="n">
        <v>62</v>
      </c>
      <c r="C66" s="12" t="inlineStr">
        <is>
          <t>US-035-02</t>
        </is>
      </c>
      <c r="D66" s="12" t="inlineStr">
        <is>
          <t>Complete the primary Packages and Promotions workflow</t>
        </is>
      </c>
      <c r="E66" s="12" t="inlineStr">
        <is>
          <t>EPIC-22</t>
        </is>
      </c>
      <c r="F66" s="12" t="inlineStr">
        <is>
          <t>Revenue Management</t>
        </is>
      </c>
      <c r="G66" s="12" t="inlineStr">
        <is>
          <t>Offers</t>
        </is>
      </c>
      <c r="H66" s="11" t="inlineStr">
        <is>
          <t>SCR-035</t>
        </is>
      </c>
      <c r="I66" s="12" t="inlineStr">
        <is>
          <t>Packages and Promotions</t>
        </is>
      </c>
      <c r="J66" s="12" t="inlineStr">
        <is>
          <t>Primary Workflow</t>
        </is>
      </c>
      <c r="K66" s="12" t="inlineStr">
        <is>
          <t>Revenue Manager</t>
        </is>
      </c>
      <c r="L66" s="12" t="inlineStr">
        <is>
          <t>As a Revenue Manager, I want to list, search, filter, view, create, edit, cancel/delete under policy, export in Packages and Promotions, so that the offers process is completed accurately without duplicate or inconsistent records.</t>
        </is>
      </c>
      <c r="M66" s="12" t="inlineStr">
        <is>
          <t>Enable revenue management users to manage offers through the Packages and Promotions workflow with real-time status, validations and traceability.</t>
        </is>
      </c>
      <c r="N66" s="12" t="inlineStr">
        <is>
          <t>View access confirmed; required masters and linked records exist; Rooms, Distribution, Reservations services are available; approval limit is valid.</t>
        </is>
      </c>
      <c r="O6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packages and promotions workflow; invalid or conflicting actions are blocked with clear messages; saved changes appear in related screens; sensitive changes are auditable.</t>
        </is>
      </c>
      <c r="P66" s="12" t="inlineStr">
        <is>
          <t>Duplicate submission is idempotent; stale data returns a refresh/conflict message; invalid status transitions are blocked; partial failure rolls back without orphan records.</t>
        </is>
      </c>
      <c r="Q66" s="12" t="inlineStr">
        <is>
          <t>Tenant/property scope; required fields; optimistic locking; timezone-safe dates; reason mandatory for overrides; currency precision; tax/rate totals; approval limit; no unbalanced or duplicate posting</t>
        </is>
      </c>
      <c r="R66" s="12" t="inlineStr">
        <is>
          <t>Rooms, Distribution, Reservations</t>
        </is>
      </c>
      <c r="S66" s="12" t="inlineStr">
        <is>
          <t>GET, POST, PUT/PATCH, DELETE /api/v1/packages-and-promotions; lookup, validation and audit endpoints; idempotency for financial/booking writes; entities: rate_plans, rate_rules, packages, restrictions, inventory_controls</t>
        </is>
      </c>
      <c r="T66" s="12" t="inlineStr">
        <is>
          <t>Must Have</t>
        </is>
      </c>
      <c r="U66" s="12" t="inlineStr">
        <is>
          <t>MVP</t>
        </is>
      </c>
      <c r="V66" s="34" t="n">
        <v>8</v>
      </c>
      <c r="W66" s="12" t="inlineStr">
        <is>
          <t>S03-S04</t>
        </is>
      </c>
      <c r="X66" s="12" t="inlineStr">
        <is>
          <t>Done</t>
        </is>
      </c>
      <c r="Y66" s="13">
        <f>IF(X66="Done",1,IF(X66="QA",0.9,IF(X66="Code Review",0.75,IF(X66="In Development",0.5,IF(X66="Ready",0.1,0)))))</f>
        <v/>
      </c>
      <c r="Z66" s="12" t="n"/>
      <c r="AA66" s="12" t="inlineStr">
        <is>
          <t>TC-035-B</t>
        </is>
      </c>
      <c r="AB66" s="12" t="inlineStr">
        <is>
          <t>Approved screen design; story reviewed with Revenue Manager; dependencies, API contract, role permissions and test data identified.</t>
        </is>
      </c>
      <c r="AC66" s="12" t="inlineStr">
        <is>
          <t>Code reviewed; unit, API, UI, RBAC and integration tests pass; accessibility and responsive states verified; audit evidence captured; product owner accepts in staging.</t>
        </is>
      </c>
      <c r="AD66" s="12" t="inlineStr">
        <is>
          <t>Four tabs. Packages is the full CRUD with a card image (upload/replace/remove) and up to 20 inclusions; an inclusion can point at a real add-on so its name and price live in one place, or stay free text for something the property does not stock such as a late check-out. Add-ons is a master in its own right (code, category, price, pricing unit) showing how many packages use each. Promo Codes is the mockup's table - Code, Description, Usage, Usage Limit, Value, Expiry, Status, Actions - with a derived state badge that combines status, dates and usage: Active, Inactive, Scheduled, Expired or Limit reached. Redemption is the live log. VERIFIED live through the UI: redeeming BAY10 for 'Priya Sharma' incremented usage and appeared on the Redemption tab attributed to Kishore Admin with a timestamp.</t>
        </is>
      </c>
    </row>
    <row r="67" ht="78" customHeight="1" s="43">
      <c r="A67" s="11" t="n">
        <v>1</v>
      </c>
      <c r="B67" s="11" t="n">
        <v>63</v>
      </c>
      <c r="C67" s="12" t="inlineStr">
        <is>
          <t>US-035-03</t>
        </is>
      </c>
      <c r="D67" s="12" t="inlineStr">
        <is>
          <t>Control permissions, overrides and audit for Packages and Promotions</t>
        </is>
      </c>
      <c r="E67" s="12" t="inlineStr">
        <is>
          <t>EPIC-22</t>
        </is>
      </c>
      <c r="F67" s="12" t="inlineStr">
        <is>
          <t>Revenue Management</t>
        </is>
      </c>
      <c r="G67" s="12" t="inlineStr">
        <is>
          <t>Offers</t>
        </is>
      </c>
      <c r="H67" s="11" t="inlineStr">
        <is>
          <t>SCR-035</t>
        </is>
      </c>
      <c r="I67" s="12" t="inlineStr">
        <is>
          <t>Packages and Promotions</t>
        </is>
      </c>
      <c r="J67" s="12" t="inlineStr">
        <is>
          <t>Security / Exceptions</t>
        </is>
      </c>
      <c r="K67" s="12" t="inlineStr">
        <is>
          <t>Revenue Manager</t>
        </is>
      </c>
      <c r="L67" s="12" t="inlineStr">
        <is>
          <t>As a department supervisor or auditor, I want sensitive actions in Packages and Promotions to follow permissions, approval limits and audit rules, so that resort operations remain secure, compliant and traceable.</t>
        </is>
      </c>
      <c r="M67" s="12" t="inlineStr">
        <is>
          <t>Reduces fraud, privacy leakage, unauthorized overrides and unresolved operational disputes.</t>
        </is>
      </c>
      <c r="N67" s="12" t="inlineStr">
        <is>
          <t>Roles, permissions, approval hierarchy and audit service are configured; allowed and denied test users exist.</t>
        </is>
      </c>
      <c r="O6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67" s="12" t="inlineStr">
        <is>
          <t>Tampered IDs, expired sessions, approval-limit violations and cross-tenant requests are rejected; secrets and sensitive guest/payment fields are never written to logs.</t>
        </is>
      </c>
      <c r="Q67" s="12" t="inlineStr">
        <is>
          <t>Tenant/property scope; required fields; optimistic locking; timezone-safe dates; reason mandatory for overrides; currency precision; tax/rate totals; approval limit; no unbalanced or duplicate posting</t>
        </is>
      </c>
      <c r="R67" s="12" t="inlineStr">
        <is>
          <t>Rooms, Distribution, Reservations</t>
        </is>
      </c>
      <c r="S67" s="12" t="inlineStr">
        <is>
          <t>GET, POST, PUT/PATCH, DELETE /api/v1/packages-and-promotions; lookup, validation and audit endpoints; idempotency for financial/booking writes; entities: rate_plans, rate_rules, packages, restrictions, inventory_controls</t>
        </is>
      </c>
      <c r="T67" s="12" t="inlineStr">
        <is>
          <t>Must Have</t>
        </is>
      </c>
      <c r="U67" s="12" t="inlineStr">
        <is>
          <t>MVP</t>
        </is>
      </c>
      <c r="V67" s="34" t="n">
        <v>5</v>
      </c>
      <c r="W67" s="12" t="inlineStr">
        <is>
          <t>S03-S04</t>
        </is>
      </c>
      <c r="X67" s="12" t="inlineStr">
        <is>
          <t>Done</t>
        </is>
      </c>
      <c r="Y67" s="13">
        <f>IF(X67="Done",1,IF(X67="QA",0.9,IF(X67="Code Review",0.75,IF(X67="In Development",0.5,IF(X67="Ready",0.1,0)))))</f>
        <v/>
      </c>
      <c r="Z67" s="12" t="n"/>
      <c r="AA67" s="12" t="inlineStr">
        <is>
          <t>TC-035-C</t>
        </is>
      </c>
      <c r="AB67" s="12" t="inlineStr">
        <is>
          <t>Approved screen design; story reviewed with Revenue Manager; dependencies, API contract, role permissions and test data identified.</t>
        </is>
      </c>
      <c r="AC67" s="12" t="inlineStr">
        <is>
          <t>Code reviewed; unit, API, UI, RBAC and integration tests pass; accessibility and responsive states verified; audit evidence captured; product owner accepts in staging.</t>
        </is>
      </c>
      <c r="AD67" s="12" t="inlineStr">
        <is>
          <t>Bookings and revenue on a package card are DERIVED from reservation units naming the package (new nullable booking.reservation_units.package_id with a composite FK). The booking flow does not offer packages yet, so both read zero - the truth rather than a decorative number - and become real with no backfill the moment a reservation carries a package. Redemption integrity: the promo row is locked FOR UPDATE and its state re-checked inside the transaction, so two concurrent redemptions cannot both take the last use; every increment writes a matching promo_redemptions row in the same transaction, and a CHECK constraint stops usage_count exceeding the limit. VERIFIED: redeeming an expired code -&gt; 409 'cannot be redeemed: Expired'; redeeming past the limit -&gt; 409 'Limit reached'; lowering a usage limit below what has already been redeemed -&gt; 422 naming the count. Validation, all 422: valid-to before valid-from, discount over 100%, negative adjustment, min nights 0, max below min nights, invalid status, room type or add-on from another property, zero discount, negative usage limit. Optimistic locking (409), duplicate codes (409), unknown package (404). Audit on every create/update/status/image/redeem. RBAC 401/403/403 cross-property.</t>
        </is>
      </c>
    </row>
    <row r="68" ht="78" customHeight="1" s="43">
      <c r="A68" s="11" t="n">
        <v>1</v>
      </c>
      <c r="B68" s="11" t="n">
        <v>64</v>
      </c>
      <c r="C68" s="12" t="inlineStr">
        <is>
          <t>US-058-01</t>
        </is>
      </c>
      <c r="D68" s="12" t="inlineStr">
        <is>
          <t>View and find information in Deposit Schedule</t>
        </is>
      </c>
      <c r="E68" s="12" t="inlineStr">
        <is>
          <t>EPIC-16</t>
        </is>
      </c>
      <c r="F68" s="12" t="inlineStr">
        <is>
          <t>Finance</t>
        </is>
      </c>
      <c r="G68" s="12" t="inlineStr">
        <is>
          <t>Deposits</t>
        </is>
      </c>
      <c r="H68" s="11" t="inlineStr">
        <is>
          <t>SCR-058</t>
        </is>
      </c>
      <c r="I68" s="12" t="inlineStr">
        <is>
          <t>Deposit Schedule</t>
        </is>
      </c>
      <c r="J68" s="12" t="inlineStr">
        <is>
          <t>View / Search</t>
        </is>
      </c>
      <c r="K68" s="12" t="inlineStr">
        <is>
          <t>Finance Manager</t>
        </is>
      </c>
      <c r="L68" s="12" t="inlineStr">
        <is>
          <t>As a Finance Manager, I want to open Deposit Schedule and find relevant records using search, filters and sorting, so that I can make accurate operational decisions.</t>
        </is>
      </c>
      <c r="M68" s="12" t="inlineStr">
        <is>
          <t>Provides timely visibility for deposits and reduces manual lookup effort.</t>
        </is>
      </c>
      <c r="N68" s="12" t="inlineStr">
        <is>
          <t>Authenticated user; active property; view permission for Finance; All revenue modules data available.</t>
        </is>
      </c>
      <c r="O68" s="12" t="inlineStr">
        <is>
          <t>Given I am authenticated as Finance Manager with access to the selected property, when I open Deposit Schedule,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68" s="12" t="inlineStr">
        <is>
          <t>Cross-property data never appears; unauthorized fields are masked; invalid filters do not break the screen; unavailable services return a controlled message.</t>
        </is>
      </c>
      <c r="Q68" s="12" t="inlineStr">
        <is>
          <t>Tenant/property scope; required fields; optimistic locking; timezone-safe dates; reason mandatory for overrides; currency precision; tax/rate totals; approval limit; no unbalanced or duplicate posting</t>
        </is>
      </c>
      <c r="R68" s="12" t="inlineStr">
        <is>
          <t>All revenue modules</t>
        </is>
      </c>
      <c r="S68" s="12" t="inlineStr">
        <is>
          <t>GET, POST, PUT/PATCH, DELETE /api/v1/deposit-schedule; lookup, validation and audit endpoints; idempotency for financial/booking writes; entities: folios, payments, refunds, invoices, credit_notes, cash_drawers, taxes, receivables</t>
        </is>
      </c>
      <c r="T68" s="12" t="inlineStr">
        <is>
          <t>Must Have</t>
        </is>
      </c>
      <c r="U68" s="12" t="inlineStr">
        <is>
          <t>MVP</t>
        </is>
      </c>
      <c r="V68" s="34" t="n">
        <v>3</v>
      </c>
      <c r="W68" s="12" t="inlineStr">
        <is>
          <t>S03-S04</t>
        </is>
      </c>
      <c r="X68" s="12" t="inlineStr">
        <is>
          <t>Done</t>
        </is>
      </c>
      <c r="Y68" s="13" t="n">
        <v>1</v>
      </c>
      <c r="Z68" s="12" t="n"/>
      <c r="AA68" s="12" t="inlineStr">
        <is>
          <t>TC-058-A</t>
        </is>
      </c>
      <c r="AB68" s="12" t="inlineStr">
        <is>
          <t>Approved screen design; story reviewed with Finance Manager; dependencies, API contract, role permissions and test data identified.</t>
        </is>
      </c>
      <c r="AC68" s="12" t="inlineStr">
        <is>
          <t>Code reviewed; unit, API, UI, RBAC and integration tests pass; accessibility and responsive states verified; audit evidence captured; product owner accepts in staging.</t>
        </is>
      </c>
      <c r="AD68" s="12" t="inlineStr">
        <is>
          <t>Deposit Schedule (mockup 058) view at /reservations/{id}/deposits: header (guest, occupancy, room type, stay, nights) + tab strip; 5 KPI cards (Total Booking Value, Total Deposit Required + %, Total Received + % of scheduled, Balance Due, Next Due Date with overdue/in-N-days); instalment table (#, instalment + %, amount, due date, status, received on, method, reminder, actions) with paid/balance sub-row per row and a Show cancelled toggle. Booking value is real: booking-core /reservations/{id}/detail now returns booking_value = sum over units of nights x (rate_calendar_days rate, else room type base rate), cancelled units at zero. Verified in Chrome on CBR39535923: 3 nights x 6500 = Rs 19,500.</t>
        </is>
      </c>
    </row>
    <row r="69" ht="78" customHeight="1" s="43">
      <c r="A69" s="11" t="n">
        <v>1</v>
      </c>
      <c r="B69" s="11" t="n">
        <v>65</v>
      </c>
      <c r="C69" s="12" t="inlineStr">
        <is>
          <t>US-058-02</t>
        </is>
      </c>
      <c r="D69" s="12" t="inlineStr">
        <is>
          <t>Complete the primary Deposit Schedule workflow</t>
        </is>
      </c>
      <c r="E69" s="12" t="inlineStr">
        <is>
          <t>EPIC-16</t>
        </is>
      </c>
      <c r="F69" s="12" t="inlineStr">
        <is>
          <t>Finance</t>
        </is>
      </c>
      <c r="G69" s="12" t="inlineStr">
        <is>
          <t>Deposits</t>
        </is>
      </c>
      <c r="H69" s="11" t="inlineStr">
        <is>
          <t>SCR-058</t>
        </is>
      </c>
      <c r="I69" s="12" t="inlineStr">
        <is>
          <t>Deposit Schedule</t>
        </is>
      </c>
      <c r="J69" s="12" t="inlineStr">
        <is>
          <t>Primary Workflow</t>
        </is>
      </c>
      <c r="K69" s="12" t="inlineStr">
        <is>
          <t>Finance Manager</t>
        </is>
      </c>
      <c r="L69" s="12" t="inlineStr">
        <is>
          <t>As a Finance Manager, I want to view timeline, filter, create, assign, reschedule, conflict-check, cancel in Deposit Schedule, so that the deposits process is completed accurately without duplicate or inconsistent records.</t>
        </is>
      </c>
      <c r="M69" s="12" t="inlineStr">
        <is>
          <t>Enable finance users to manage deposits through the Deposit Schedule workflow with real-time status, validations and traceability.</t>
        </is>
      </c>
      <c r="N69" s="12" t="inlineStr">
        <is>
          <t>View access confirmed; required masters and linked records exist; All revenue modules services are available; approval limit is valid.</t>
        </is>
      </c>
      <c r="O6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deposit schedule workflow; invalid or conflicting actions are blocked with clear messages; saved changes appear in related screens; sensitive changes are auditable.</t>
        </is>
      </c>
      <c r="P69" s="12" t="inlineStr">
        <is>
          <t>Duplicate submission is idempotent; stale data returns a refresh/conflict message; invalid status transitions are blocked; partial failure rolls back without orphan records.</t>
        </is>
      </c>
      <c r="Q69" s="12" t="inlineStr">
        <is>
          <t>Tenant/property scope; required fields; optimistic locking; timezone-safe dates; reason mandatory for overrides; currency precision; tax/rate totals; approval limit; no unbalanced or duplicate posting</t>
        </is>
      </c>
      <c r="R69" s="12" t="inlineStr">
        <is>
          <t>All revenue modules</t>
        </is>
      </c>
      <c r="S69" s="12" t="inlineStr">
        <is>
          <t>GET, POST, PUT/PATCH, DELETE /api/v1/deposit-schedule; lookup, validation and audit endpoints; idempotency for financial/booking writes; entities: folios, payments, refunds, invoices, credit_notes, cash_drawers, taxes, receivables</t>
        </is>
      </c>
      <c r="T69" s="12" t="inlineStr">
        <is>
          <t>Must Have</t>
        </is>
      </c>
      <c r="U69" s="12" t="inlineStr">
        <is>
          <t>MVP</t>
        </is>
      </c>
      <c r="V69" s="34" t="n">
        <v>8</v>
      </c>
      <c r="W69" s="12" t="inlineStr">
        <is>
          <t>S03-S04</t>
        </is>
      </c>
      <c r="X69" s="12" t="inlineStr">
        <is>
          <t>Done</t>
        </is>
      </c>
      <c r="Y69" s="13" t="n">
        <v>1</v>
      </c>
      <c r="Z69" s="12" t="n"/>
      <c r="AA69" s="12" t="inlineStr">
        <is>
          <t>TC-058-B</t>
        </is>
      </c>
      <c r="AB69" s="12" t="inlineStr">
        <is>
          <t>Approved screen design; story reviewed with Finance Manager; dependencies, API contract, role permissions and test data identified.</t>
        </is>
      </c>
      <c r="AC69" s="12" t="inlineStr">
        <is>
          <t>Code reviewed; unit, API, UI, RBAC and integration tests pass; accessibility and responsive states verified; audit evidence captured; product owner accepts in staging.</t>
        </is>
      </c>
      <c r="AD69" s="12" t="inlineStr">
        <is>
          <t>Primary workflow: generate a schedule from percentage splits (20/10/balance-on-arrival), add/edit instalment (fixed amount or % of booking), cancel, collect payment, waive, refund/reverse, and reminder state. Collections go through the SAME finance.post_payment path as every other payment, so each posts a real credit to the reservation folio and appears in Payments; deposit_allocations records which instalment a payment settled. paid_amount is NOT stored - it is SUM(allocations) - so the schedule cannot disagree with the ledger. Status is derived (paid / partially paid / pending / waived); only cancelled is set by a person. Verified in Chrome: collected Rs 1,500 against a Rs 3,900 instalment -&gt; Partially Paid, balance Rs 2,400, Rs 1,500 credit on the folio; waived Rs 1,950 -&gt; Waived, balance moved Rs 18,000 -&gt; Rs 16,050, next due date recalculated; reminder marked sent.
[14 Sep 2026 defect sweep] DEFECT FOUND AND FIXED (high). The deposit refund route posted a folio debit and a negative deposit_allocation and never wrote finance.refunds -- the table that decides how much of a payment is still refundable. The same money could therefore be given back a second time through /refunds, which would pass its own check happily. Now recorded, with the caller's open drawer attached when they have one. RESIDUAL, STATED DELIBERATELY: this route does not REQUIRE an open drawer the way /refunds does, because it never has and refusing now would stop a working flow -- so a cash deposit refund can still leave a till with no shift recording it. Two knock-ons fixed: 'deposit_refund' is a different source_type from 'refund', so it was escaping both the ledger-scope classification and folio_money's net-of-refunds calculation.</t>
        </is>
      </c>
    </row>
    <row r="70" ht="78" customHeight="1" s="43">
      <c r="A70" s="11" t="n">
        <v>1</v>
      </c>
      <c r="B70" s="11" t="n">
        <v>66</v>
      </c>
      <c r="C70" s="12" t="inlineStr">
        <is>
          <t>US-058-03</t>
        </is>
      </c>
      <c r="D70" s="12" t="inlineStr">
        <is>
          <t>Control permissions, overrides and audit for Deposit Schedule</t>
        </is>
      </c>
      <c r="E70" s="12" t="inlineStr">
        <is>
          <t>EPIC-16</t>
        </is>
      </c>
      <c r="F70" s="12" t="inlineStr">
        <is>
          <t>Finance</t>
        </is>
      </c>
      <c r="G70" s="12" t="inlineStr">
        <is>
          <t>Deposits</t>
        </is>
      </c>
      <c r="H70" s="11" t="inlineStr">
        <is>
          <t>SCR-058</t>
        </is>
      </c>
      <c r="I70" s="12" t="inlineStr">
        <is>
          <t>Deposit Schedule</t>
        </is>
      </c>
      <c r="J70" s="12" t="inlineStr">
        <is>
          <t>Security / Exceptions</t>
        </is>
      </c>
      <c r="K70" s="12" t="inlineStr">
        <is>
          <t>Finance Manager</t>
        </is>
      </c>
      <c r="L70" s="12" t="inlineStr">
        <is>
          <t>As a department supervisor or auditor, I want sensitive actions in Deposit Schedule to follow permissions, approval limits and audit rules, so that resort operations remain secure, compliant and traceable.</t>
        </is>
      </c>
      <c r="M70" s="12" t="inlineStr">
        <is>
          <t>Reduces fraud, privacy leakage, unauthorized overrides and unresolved operational disputes.</t>
        </is>
      </c>
      <c r="N70" s="12" t="inlineStr">
        <is>
          <t>Roles, permissions, approval hierarchy and audit service are configured; allowed and denied test users exist.</t>
        </is>
      </c>
      <c r="O7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70" s="12" t="inlineStr">
        <is>
          <t>Tampered IDs, expired sessions, approval-limit violations and cross-tenant requests are rejected; secrets and sensitive guest/payment fields are never written to logs.</t>
        </is>
      </c>
      <c r="Q70" s="12" t="inlineStr">
        <is>
          <t>Tenant/property scope; required fields; optimistic locking; timezone-safe dates; reason mandatory for overrides; currency precision; tax/rate totals; approval limit; no unbalanced or duplicate posting</t>
        </is>
      </c>
      <c r="R70" s="12" t="inlineStr">
        <is>
          <t>All revenue modules</t>
        </is>
      </c>
      <c r="S70" s="12" t="inlineStr">
        <is>
          <t>GET, POST, PUT/PATCH, DELETE /api/v1/deposit-schedule; lookup, validation and audit endpoints; idempotency for financial/booking writes; entities: folios, payments, refunds, invoices, credit_notes, cash_drawers, taxes, receivables</t>
        </is>
      </c>
      <c r="T70" s="12" t="inlineStr">
        <is>
          <t>Must Have</t>
        </is>
      </c>
      <c r="U70" s="12" t="inlineStr">
        <is>
          <t>MVP</t>
        </is>
      </c>
      <c r="V70" s="34" t="n">
        <v>5</v>
      </c>
      <c r="W70" s="12" t="inlineStr">
        <is>
          <t>S03-S04</t>
        </is>
      </c>
      <c r="X70" s="12" t="inlineStr">
        <is>
          <t>Done</t>
        </is>
      </c>
      <c r="Y70" s="13" t="n">
        <v>1</v>
      </c>
      <c r="Z70" s="12" t="n"/>
      <c r="AA70" s="12" t="inlineStr">
        <is>
          <t>TC-058-C</t>
        </is>
      </c>
      <c r="AB70" s="12" t="inlineStr">
        <is>
          <t>Approved screen design; story reviewed with Finance Manager; dependencies, API contract, role permissions and test data identified.</t>
        </is>
      </c>
      <c r="AC70" s="12" t="inlineStr">
        <is>
          <t>Code reviewed; unit, API, UI, RBAC and integration tests pass; accessibility and responsive states verified; audit evidence captured; product owner accepts in staging.</t>
        </is>
      </c>
      <c r="AD70" s="12" t="inlineStr">
        <is>
          <t>Security/exceptions: RBAC payments.view/create/edit/cancel/approve, deny-by-default. NOTE: the payments permission rows had existed since IAM 0001 but were granted to NO role - every check denied everyone; iam 0007_payments_grants now grants them to Front Desk (view/create/edit), Reservations (view), Resort Manager, Administrator and Property IT Administrator. Waivers over Rs 5,000 need payments.approve: a request from someone without it is stored as 'requested' and the balance does NOT move until decided (verified: anita.reddy/Front Desk waived Rs 9,000 -&gt; requested, status stayed Pending, balance unchanged Rs 13,650; admin approved -&gt; applied; front desk got 403 on waiver-decision). Also verified: over-collection 422, double refund 422, cancelling a paid instalment 422, regenerating an existing schedule 409, optimistic-lock 409 on edit. Append-only audit for generate/create/update/cancel/collect/refund/waive/decision/reminder. GAPS STATED ON THE SCREEN: reminders are recorded, not sent (no mail/SMS transport exists), and waiver approval is decided in place because screen 042's queue still has no request-creation path.</t>
        </is>
      </c>
    </row>
    <row r="71" ht="78" customHeight="1" s="43">
      <c r="A71" s="11" t="n">
        <v>1</v>
      </c>
      <c r="B71" s="11" t="n">
        <v>67</v>
      </c>
      <c r="C71" s="12" t="inlineStr">
        <is>
          <t>US-118-01</t>
        </is>
      </c>
      <c r="D71" s="12" t="inlineStr">
        <is>
          <t>View and find information in Tax and Service Charge Setup</t>
        </is>
      </c>
      <c r="E71" s="12" t="inlineStr">
        <is>
          <t>EPIC-16</t>
        </is>
      </c>
      <c r="F71" s="12" t="inlineStr">
        <is>
          <t>Finance</t>
        </is>
      </c>
      <c r="G71" s="12" t="inlineStr">
        <is>
          <t>Tax Configuration</t>
        </is>
      </c>
      <c r="H71" s="11" t="inlineStr">
        <is>
          <t>SCR-118</t>
        </is>
      </c>
      <c r="I71" s="12" t="inlineStr">
        <is>
          <t>Tax and Service Charge Setup</t>
        </is>
      </c>
      <c r="J71" s="12" t="inlineStr">
        <is>
          <t>View / Search</t>
        </is>
      </c>
      <c r="K71" s="12" t="inlineStr">
        <is>
          <t>Finance Manager</t>
        </is>
      </c>
      <c r="L71" s="12" t="inlineStr">
        <is>
          <t>As a Finance Manager, I want to open Tax and Service Charge Setup and find relevant records using search, filters and sorting, so that I can make accurate operational decisions.</t>
        </is>
      </c>
      <c r="M71" s="12" t="inlineStr">
        <is>
          <t>Provides timely visibility for tax configuration and reduces manual lookup effort.</t>
        </is>
      </c>
      <c r="N71" s="12" t="inlineStr">
        <is>
          <t>Authenticated user; active property; view permission for Finance; All revenue modules data available.</t>
        </is>
      </c>
      <c r="O71" s="12" t="inlineStr">
        <is>
          <t>Given I am authenticated as Finance Manager with access to the selected property, when I open Tax and Service Charge Setup,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71" s="12" t="inlineStr">
        <is>
          <t>Cross-property data never appears; unauthorized fields are masked; invalid filters do not break the screen; unavailable services return a controlled message.</t>
        </is>
      </c>
      <c r="Q71" s="12" t="inlineStr">
        <is>
          <t>Tenant/property scope; required fields; optimistic locking; timezone-safe dates; reason mandatory for overrides; currency precision; tax/rate totals; approval limit; no unbalanced or duplicate posting</t>
        </is>
      </c>
      <c r="R71" s="12" t="inlineStr">
        <is>
          <t>All revenue modules</t>
        </is>
      </c>
      <c r="S71" s="12" t="inlineStr">
        <is>
          <t>GET, POST, PUT/PATCH, DELETE /api/v1/tax-and-service-charge-setup; lookup, validation and audit endpoints; idempotency for financial/booking writes; entities: folios, payments, refunds, invoices, credit_notes, cash_drawers, taxes, receivables</t>
        </is>
      </c>
      <c r="T71" s="12" t="inlineStr">
        <is>
          <t>Must Have</t>
        </is>
      </c>
      <c r="U71" s="12" t="inlineStr">
        <is>
          <t>MVP</t>
        </is>
      </c>
      <c r="V71" s="34" t="n">
        <v>3</v>
      </c>
      <c r="W71" s="12" t="inlineStr">
        <is>
          <t>S03-S04</t>
        </is>
      </c>
      <c r="X71" s="12" t="inlineStr">
        <is>
          <t>Done</t>
        </is>
      </c>
      <c r="Y71" s="13">
        <f>IF(X71="Done",1,IF(X71="QA",0.9,IF(X71="Code Review",0.75,IF(X71="In Development",0.5,IF(X71="Ready",0.1,0)))))</f>
        <v/>
      </c>
      <c r="Z71" s="12" t="n"/>
      <c r="AA71" s="12" t="inlineStr">
        <is>
          <t>TC-118-A</t>
        </is>
      </c>
      <c r="AB71" s="12" t="inlineStr">
        <is>
          <t>Approved screen design; story reviewed with Finance Manager; dependencies, API contract, role permissions and test data identified.</t>
        </is>
      </c>
      <c r="AC71" s="12" t="inlineStr">
        <is>
          <t>Code reviewed; unit, API, UI, RBAC and integration tests pass; accessibility and responsive states verified; audit evidence captured; product owner accepts in staging.</t>
        </is>
      </c>
      <c r="AD71" s="12" t="inlineStr">
        <is>
          <t>Tax and Service Charge Setup (mockup 118) at /admin/taxes, under Administration where the mockup's own breadcrumb puts it, and linked from the Taxes tab on Rate Plans which previously said the screen did not exist. KEY DECISION: built on finance.tax_rules rather than beside it. That table was created by migration 0001 as scaffolding - a code, a validity window and an opaque calculation_rule - and was never filled or read, but it already carried the one thing this screen needs: versioning by effective date, which is exactly what 'Schedule Change' means. Migration 0002 gives it the columns the screen shows and seeds the 14 rules from the mockup (5 tax groups, 4 GST components, 3 service charges, 2 other taxes). One rename was included: tax_rules.version counted revisions while `version` means optimistic lock everywhere else in this codebase, so it became `revision` and a normal `version` was added - the table was empty, so the trap was removed for free. Four KPI cards, five type tabs with counts, search / status / applicability filters and 10-per-page pagination, all verified live.</t>
        </is>
      </c>
    </row>
    <row r="72" ht="78" customHeight="1" s="43">
      <c r="A72" s="11" t="n">
        <v>1</v>
      </c>
      <c r="B72" s="11" t="n">
        <v>68</v>
      </c>
      <c r="C72" s="12" t="inlineStr">
        <is>
          <t>US-118-02</t>
        </is>
      </c>
      <c r="D72" s="12" t="inlineStr">
        <is>
          <t>Complete the primary Tax and Service Charge Setup workflow</t>
        </is>
      </c>
      <c r="E72" s="12" t="inlineStr">
        <is>
          <t>EPIC-16</t>
        </is>
      </c>
      <c r="F72" s="12" t="inlineStr">
        <is>
          <t>Finance</t>
        </is>
      </c>
      <c r="G72" s="12" t="inlineStr">
        <is>
          <t>Tax Configuration</t>
        </is>
      </c>
      <c r="H72" s="11" t="inlineStr">
        <is>
          <t>SCR-118</t>
        </is>
      </c>
      <c r="I72" s="12" t="inlineStr">
        <is>
          <t>Tax and Service Charge Setup</t>
        </is>
      </c>
      <c r="J72" s="12" t="inlineStr">
        <is>
          <t>Primary Workflow</t>
        </is>
      </c>
      <c r="K72" s="12" t="inlineStr">
        <is>
          <t>Finance Manager</t>
        </is>
      </c>
      <c r="L72" s="12" t="inlineStr">
        <is>
          <t>As a Finance Manager, I want to list, view, create, edit, activate/deactivate, delete where safe in Tax and Service Charge Setup, so that the tax configuration process is completed accurately without duplicate or inconsistent records.</t>
        </is>
      </c>
      <c r="M72" s="12" t="inlineStr">
        <is>
          <t>Enable finance users to manage tax configuration through the Tax and Service Charge Setup workflow with real-time status, validations and traceability.</t>
        </is>
      </c>
      <c r="N72" s="12" t="inlineStr">
        <is>
          <t>View access confirmed; required masters and linked records exist; All revenue modules services are available; approval limit is valid.</t>
        </is>
      </c>
      <c r="O7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tax and service charge setup workflow; invalid or conflicting actions are blocked with clear messages; saved changes appear in related screens; sensitive changes are auditable.</t>
        </is>
      </c>
      <c r="P72" s="12" t="inlineStr">
        <is>
          <t>Duplicate submission is idempotent; stale data returns a refresh/conflict message; invalid status transitions are blocked; partial failure rolls back without orphan records.</t>
        </is>
      </c>
      <c r="Q72" s="12" t="inlineStr">
        <is>
          <t>Tenant/property scope; required fields; optimistic locking; timezone-safe dates; reason mandatory for overrides; currency precision; tax/rate totals; approval limit; no unbalanced or duplicate posting</t>
        </is>
      </c>
      <c r="R72" s="12" t="inlineStr">
        <is>
          <t>All revenue modules</t>
        </is>
      </c>
      <c r="S72" s="12" t="inlineStr">
        <is>
          <t>GET, POST, PUT/PATCH, DELETE /api/v1/tax-and-service-charge-setup; lookup, validation and audit endpoints; idempotency for financial/booking writes; entities: folios, payments, refunds, invoices, credit_notes, cash_drawers, taxes, receivables</t>
        </is>
      </c>
      <c r="T72" s="12" t="inlineStr">
        <is>
          <t>Must Have</t>
        </is>
      </c>
      <c r="U72" s="12" t="inlineStr">
        <is>
          <t>MVP</t>
        </is>
      </c>
      <c r="V72" s="34" t="n">
        <v>8</v>
      </c>
      <c r="W72" s="12" t="inlineStr">
        <is>
          <t>S03-S04</t>
        </is>
      </c>
      <c r="X72" s="12" t="inlineStr">
        <is>
          <t>Done</t>
        </is>
      </c>
      <c r="Y72" s="13">
        <f>IF(X72="Done",1,IF(X72="QA",0.9,IF(X72="Code Review",0.75,IF(X72="In Development",0.5,IF(X72="Ready",0.1,0)))))</f>
        <v/>
      </c>
      <c r="Z72" s="12" t="n"/>
      <c r="AA72" s="12" t="inlineStr">
        <is>
          <t>TC-118-B</t>
        </is>
      </c>
      <c r="AB72" s="12" t="inlineStr">
        <is>
          <t>Approved screen design; story reviewed with Finance Manager; dependencies, API contract, role permissions and test data identified.</t>
        </is>
      </c>
      <c r="AC72" s="12" t="inlineStr">
        <is>
          <t>Code reviewed; unit, API, UI, RBAC and integration tests pass; accessibility and responsive states verified; audit evidence captured; product owner accepts in staging.</t>
        </is>
      </c>
      <c r="AD72" s="12" t="inlineStr">
        <is>
          <t>A rate is never edited destructively. The table lists the revision in force; Schedule Change adds a later revision beside it, so a folio posted last month can still say what rate it was billed at. VERIFIED live through the UI: scheduling Service Charge 10% to 12% from 01 Jun 2027 left the row showing 01 Apr 2026 with a '+1' marker and moved the KPI card to '1 scheduled change', matching the mockup exactly. The drawer shows the full rate history with future revisions marked Scheduled. Code and Type are locked once a rule exists, since changing either would change how it bills. Clone copies to a new code and starts inactive. Rules deactivate rather than delete, and a tax group with active children refuses to deactivate (409 naming the count). THREE BUGS found and fixed during testing: Decimal.normalize() rendered a 10% charge as '1E+1%'; a rule whose revisions were all in the future listed the LAST one instead of the soonest; and a write returned 'the current revision for this code' rather than the row it changed, so deactivating a superseded revision looked like it did nothing.
[14 Sep 2026 defect sweep] DEFECT FOUND AND FIXED (high). tax_rules.amount_basis exists, is CHECK-constrained to per_night/per_person/per_stay/per_unit, and is SELECTed by resolve_rules -- and the engine then multiplied every flat levy by whatever single 'units' the caller passed. A 100 per-STAY levy on three nights came out at 300 and a per-PERSON levy was charged per night. compute_tax now asks each rule what it is charged per and takes the matching quantity; callers pass the quantities they know rather than pre-deciding which one matters. Verified at 3 nights / 2 guests: per_stay 100, per_night 300, per_person 200, per_unit 300, percentage unaffected. Unknown occupancy charges for one -- under-charging is visible on the bill, over-charging becomes a refund. UNEXERCISED END TO END: no tax rules are configured on this deployment, so this is verified in the engine and not against a posted bill.</t>
        </is>
      </c>
    </row>
    <row r="73" ht="78" customHeight="1" s="43">
      <c r="A73" s="11" t="n">
        <v>1</v>
      </c>
      <c r="B73" s="11" t="n">
        <v>69</v>
      </c>
      <c r="C73" s="12" t="inlineStr">
        <is>
          <t>US-118-03</t>
        </is>
      </c>
      <c r="D73" s="12" t="inlineStr">
        <is>
          <t>Control permissions, overrides and audit for Tax and Service Charge Setup</t>
        </is>
      </c>
      <c r="E73" s="12" t="inlineStr">
        <is>
          <t>EPIC-16</t>
        </is>
      </c>
      <c r="F73" s="12" t="inlineStr">
        <is>
          <t>Finance</t>
        </is>
      </c>
      <c r="G73" s="12" t="inlineStr">
        <is>
          <t>Tax Configuration</t>
        </is>
      </c>
      <c r="H73" s="11" t="inlineStr">
        <is>
          <t>SCR-118</t>
        </is>
      </c>
      <c r="I73" s="12" t="inlineStr">
        <is>
          <t>Tax and Service Charge Setup</t>
        </is>
      </c>
      <c r="J73" s="12" t="inlineStr">
        <is>
          <t>Security / Exceptions</t>
        </is>
      </c>
      <c r="K73" s="12" t="inlineStr">
        <is>
          <t>Finance Manager</t>
        </is>
      </c>
      <c r="L73" s="12" t="inlineStr">
        <is>
          <t>As a department supervisor or auditor, I want sensitive actions in Tax and Service Charge Setup to follow permissions, approval limits and audit rules, so that resort operations remain secure, compliant and traceable.</t>
        </is>
      </c>
      <c r="M73" s="12" t="inlineStr">
        <is>
          <t>Reduces fraud, privacy leakage, unauthorized overrides and unresolved operational disputes.</t>
        </is>
      </c>
      <c r="N73" s="12" t="inlineStr">
        <is>
          <t>Roles, permissions, approval hierarchy and audit service are configured; allowed and denied test users exist.</t>
        </is>
      </c>
      <c r="O7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73" s="12" t="inlineStr">
        <is>
          <t>Tampered IDs, expired sessions, approval-limit violations and cross-tenant requests are rejected; secrets and sensitive guest/payment fields are never written to logs.</t>
        </is>
      </c>
      <c r="Q73" s="12" t="inlineStr">
        <is>
          <t>Tenant/property scope; required fields; optimistic locking; timezone-safe dates; reason mandatory for overrides; currency precision; tax/rate totals; approval limit; no unbalanced or duplicate posting</t>
        </is>
      </c>
      <c r="R73" s="12" t="inlineStr">
        <is>
          <t>All revenue modules</t>
        </is>
      </c>
      <c r="S73" s="12" t="inlineStr">
        <is>
          <t>GET, POST, PUT/PATCH, DELETE /api/v1/tax-and-service-charge-setup; lookup, validation and audit endpoints; idempotency for financial/booking writes; entities: folios, payments, refunds, invoices, credit_notes, cash_drawers, taxes, receivables</t>
        </is>
      </c>
      <c r="T73" s="12" t="inlineStr">
        <is>
          <t>Must Have</t>
        </is>
      </c>
      <c r="U73" s="12" t="inlineStr">
        <is>
          <t>MVP</t>
        </is>
      </c>
      <c r="V73" s="34" t="n">
        <v>5</v>
      </c>
      <c r="W73" s="12" t="inlineStr">
        <is>
          <t>S03-S04</t>
        </is>
      </c>
      <c r="X73" s="12" t="inlineStr">
        <is>
          <t>Done</t>
        </is>
      </c>
      <c r="Y73" s="13">
        <f>IF(X73="Done",1,IF(X73="QA",0.9,IF(X73="Code Review",0.75,IF(X73="In Development",0.5,IF(X73="Ready",0.1,0)))))</f>
        <v/>
      </c>
      <c r="Z73" s="12" t="n"/>
      <c r="AA73" s="12" t="inlineStr">
        <is>
          <t>TC-118-C</t>
        </is>
      </c>
      <c r="AB73" s="12" t="inlineStr">
        <is>
          <t>Approved screen design; story reviewed with Finance Manager; dependencies, API contract, role permissions and test data identified.</t>
        </is>
      </c>
      <c r="AC73" s="12" t="inlineStr">
        <is>
          <t>Code reviewed; unit, API, UI, RBAC and integration tests pass; accessibility and responsive states verified; audit evidence captured; product owner accepts in staging.</t>
        </is>
      </c>
      <c r="AD73" s="12" t="inlineStr">
        <is>
          <t>Validation, all 422 with a sentence naming the field: percentage over 100, negative rate, a percentage carrying a charging basis, a flat amount without one, an unknown applicability, none selected, effective-to before effective-from, an unknown charge type, and tax group components that do not add up to the group's own rate (constraints back each rule in the database). Scheduling guards: a past date is refused with a pointer to editing instead, a date not after the revision it replaces is refused, a duplicate date is 409, and a different code is refused since a scheduled change revises one rule. Optimistic locking 409, duplicate code 409, unknown rule 404. Audit on create / update / schedule / clone / activate / deactivate. RBAC uses property view/update - these are per-property configuration - giving 401 anonymous, 403 without permission and 403 cross-property. The mockup's Finance Manager approval rule is surfaced as an honest notice: screen 042 has an approval queue but no way to raise a request, so the change saves directly and the notice says so rather than implying routing that does not exist. TAX ENGINE WIRED: 118 configured rules that nothing consumed - grep found no reader of finance.tax_rules outside the screen that wrote it, ledger.post_charge had no tax logic, and finance.folio_entry_taxes had 0 rows. New finance_service/tax_engine.py resolves the rules in force for a charge's category and date and computes the tax; post_charge now records the breakdown against the charge and posts any EXCLUSIVE tax as its own debit, because the folio balance is SUM(debits)-SUM(credits) and tax that is not an entry would never be billed. Inclusive tax is recorded but adds nothing, since it is already inside the price. The rate is SNAPSHOTTED per line, which is what makes 118's revisions worth keeping. A charge whose category is unknown posts untaxed rather than guessing. VERIFIED end to end on a real folio: a 6500 room night produced CGST 162.50 + SGST 162.50 + ENV_FEE 50 + BEACH_CESS 20 = 395, balance 6895; reposting the same line key added nothing (still 2 entries, 4 tax lines, same balance); an unknown source posted untaxed; inclusive 5% on 6500 gave taxable 6190.48 + tax 309.52 = 6500 exactly; a per-night levy scaled 50 -&gt; 150 over 3 nights; and raising GST_STD to 8% left the existing bill's snapshot at 2.5%. Also removed two fabrications this exposed: /folios/{id}/summary derived tax by dividing by a hardcoded 1.18, and the Checkout Folio screen was labelled 'Taxes (18%)'. Both now read the posted lines and show a real per-code breakdown.</t>
        </is>
      </c>
    </row>
    <row r="74" ht="78" customHeight="1" s="43">
      <c r="A74" s="11" t="n">
        <v>1</v>
      </c>
      <c r="B74" s="11" t="n">
        <v>70</v>
      </c>
      <c r="C74" s="12" t="inlineStr">
        <is>
          <t>US-119-01</t>
        </is>
      </c>
      <c r="D74" s="12" t="inlineStr">
        <is>
          <t>View and find information in Rate Rule Editor</t>
        </is>
      </c>
      <c r="E74" s="12" t="inlineStr">
        <is>
          <t>EPIC-22</t>
        </is>
      </c>
      <c r="F74" s="12" t="inlineStr">
        <is>
          <t>Revenue Management</t>
        </is>
      </c>
      <c r="G74" s="12" t="inlineStr">
        <is>
          <t>Rate Rules</t>
        </is>
      </c>
      <c r="H74" s="11" t="inlineStr">
        <is>
          <t>SCR-119</t>
        </is>
      </c>
      <c r="I74" s="12" t="inlineStr">
        <is>
          <t>Rate Rule Editor</t>
        </is>
      </c>
      <c r="J74" s="12" t="inlineStr">
        <is>
          <t>View / Search</t>
        </is>
      </c>
      <c r="K74" s="12" t="inlineStr">
        <is>
          <t>Revenue Manager</t>
        </is>
      </c>
      <c r="L74" s="12" t="inlineStr">
        <is>
          <t>As a Revenue Manager, I want to open Rate Rule Editor and find relevant records using search, filters and sorting, so that I can make accurate operational decisions.</t>
        </is>
      </c>
      <c r="M74" s="12" t="inlineStr">
        <is>
          <t>Provides timely visibility for rate rules and reduces manual lookup effort.</t>
        </is>
      </c>
      <c r="N74" s="12" t="inlineStr">
        <is>
          <t>Authenticated user; active property; view permission for Revenue Management; Rooms, Distribution, Reservations data available.</t>
        </is>
      </c>
      <c r="O74" s="12" t="inlineStr">
        <is>
          <t>Given I am authenticated as Revenue Manager with access to the selected property, when I open Rate Rule Editor,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74" s="12" t="inlineStr">
        <is>
          <t>Cross-property data never appears; unauthorized fields are masked; invalid filters do not break the screen; unavailable services return a controlled message.</t>
        </is>
      </c>
      <c r="Q74" s="12" t="inlineStr">
        <is>
          <t>Tenant/property scope; required fields; optimistic locking; timezone-safe dates; reason mandatory for overrides; currency precision; tax/rate totals; approval limit; no unbalanced or duplicate posting</t>
        </is>
      </c>
      <c r="R74" s="12" t="inlineStr">
        <is>
          <t>Rooms, Distribution, Reservations</t>
        </is>
      </c>
      <c r="S74" s="12" t="inlineStr">
        <is>
          <t>GET, POST, PUT/PATCH, DELETE /api/v1/rate-rule-editor; lookup, validation and audit endpoints; idempotency for financial/booking writes; entities: rate_plans, rate_rules, packages, restrictions, inventory_controls</t>
        </is>
      </c>
      <c r="T74" s="12" t="inlineStr">
        <is>
          <t>Must Have</t>
        </is>
      </c>
      <c r="U74" s="12" t="inlineStr">
        <is>
          <t>MVP</t>
        </is>
      </c>
      <c r="V74" s="34" t="n">
        <v>3</v>
      </c>
      <c r="W74" s="12" t="inlineStr">
        <is>
          <t>S03-S04</t>
        </is>
      </c>
      <c r="X74" s="12" t="inlineStr">
        <is>
          <t>Done</t>
        </is>
      </c>
      <c r="Y74" s="13">
        <f>IF(X74="Done",1,IF(X74="QA",0.9,IF(X74="Code Review",0.75,IF(X74="In Development",0.5,IF(X74="Ready",0.1,0)))))</f>
        <v/>
      </c>
      <c r="Z74" s="12" t="n"/>
      <c r="AA74" s="12" t="inlineStr">
        <is>
          <t>TC-119-A</t>
        </is>
      </c>
      <c r="AB74" s="12" t="inlineStr">
        <is>
          <t>Approved screen design; story reviewed with Revenue Manager; dependencies, API contract, role permissions and test data identified.</t>
        </is>
      </c>
      <c r="AC74" s="12" t="inlineStr">
        <is>
          <t>Code reviewed; unit, API, UI, RBAC and integration tests pass; accessibility and responsive states verified; audit evidence captured; product owner accepts in staging.</t>
        </is>
      </c>
      <c r="AD74" s="12" t="inlineStr">
        <is>
          <t>Rate Rules (screen 119) at /rates/rules, fourth item under the Rates group, and now the target of the Yield Rules button on Rates &amp; Inventory which previously said the screen did not exist. NOTE ON THE MOCKUPS: the two files are swapped - 119_Rate_Rule_Editor.png contains the Channel Connections design (screen 120) and 120_Channel_Connection_And_Mapping.png contains Rate Rules. This was built from the correct image, the one stored under 120. Migration 0014 adds property.rate_rules plus room-type and rate-plan link tables. Rules LAYER rather than replace: several can touch one night and priority decides the order, lowest first, matching the screen's own 'Lower number = higher priority'. weekdays holds ISO day numbers with empty meaning every day, so 'Selected Days (Mon-Thu)', 'Weekends (Fri-Sat)' and 'All Days' all come from one column. Eight demo rules seeded from the mockup; Festival Special correctly self-describes as Scheduled because its window is still future. List with search, status, rate plan, room type and month filters.</t>
        </is>
      </c>
    </row>
    <row r="75" ht="78" customHeight="1" s="43">
      <c r="A75" s="11" t="n">
        <v>1</v>
      </c>
      <c r="B75" s="11" t="n">
        <v>71</v>
      </c>
      <c r="C75" s="12" t="inlineStr">
        <is>
          <t>US-119-02</t>
        </is>
      </c>
      <c r="D75" s="12" t="inlineStr">
        <is>
          <t>Complete the primary Rate Rule Editor workflow</t>
        </is>
      </c>
      <c r="E75" s="12" t="inlineStr">
        <is>
          <t>EPIC-22</t>
        </is>
      </c>
      <c r="F75" s="12" t="inlineStr">
        <is>
          <t>Revenue Management</t>
        </is>
      </c>
      <c r="G75" s="12" t="inlineStr">
        <is>
          <t>Rate Rules</t>
        </is>
      </c>
      <c r="H75" s="11" t="inlineStr">
        <is>
          <t>SCR-119</t>
        </is>
      </c>
      <c r="I75" s="12" t="inlineStr">
        <is>
          <t>Rate Rule Editor</t>
        </is>
      </c>
      <c r="J75" s="12" t="inlineStr">
        <is>
          <t>Primary Workflow</t>
        </is>
      </c>
      <c r="K75" s="12" t="inlineStr">
        <is>
          <t>Revenue Manager</t>
        </is>
      </c>
      <c r="L75" s="12" t="inlineStr">
        <is>
          <t>As a Revenue Manager, I want to list, view, create, edit, activate/deactivate, delete where safe in Rate Rule Editor, so that the rate rules process is completed accurately without duplicate or inconsistent records.</t>
        </is>
      </c>
      <c r="M75" s="12" t="inlineStr">
        <is>
          <t>Enable revenue management users to manage rate rules through the Rate Rule Editor workflow with real-time status, validations and traceability.</t>
        </is>
      </c>
      <c r="N75" s="12" t="inlineStr">
        <is>
          <t>View access confirmed; required masters and linked records exist; Rooms, Distribution, Reservations services are available; approval limit is valid.</t>
        </is>
      </c>
      <c r="O7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rate rule editor workflow; invalid or conflicting actions are blocked with clear messages; saved changes appear in related screens; sensitive changes are auditable.</t>
        </is>
      </c>
      <c r="P75" s="12" t="inlineStr">
        <is>
          <t>Duplicate submission is idempotent; stale data returns a refresh/conflict message; invalid status transitions are blocked; partial failure rolls back without orphan records.</t>
        </is>
      </c>
      <c r="Q75" s="12" t="inlineStr">
        <is>
          <t>Tenant/property scope; required fields; optimistic locking; timezone-safe dates; reason mandatory for overrides; currency precision; tax/rate totals; approval limit; no unbalanced or duplicate posting</t>
        </is>
      </c>
      <c r="R75" s="12" t="inlineStr">
        <is>
          <t>Rooms, Distribution, Reservations</t>
        </is>
      </c>
      <c r="S75" s="12" t="inlineStr">
        <is>
          <t>GET, POST, PUT/PATCH, DELETE /api/v1/rate-rule-editor; lookup, validation and audit endpoints; idempotency for financial/booking writes; entities: rate_plans, rate_rules, packages, restrictions, inventory_controls</t>
        </is>
      </c>
      <c r="T75" s="12" t="inlineStr">
        <is>
          <t>Must Have</t>
        </is>
      </c>
      <c r="U75" s="12" t="inlineStr">
        <is>
          <t>MVP</t>
        </is>
      </c>
      <c r="V75" s="34" t="n">
        <v>8</v>
      </c>
      <c r="W75" s="12" t="inlineStr">
        <is>
          <t>S03-S04</t>
        </is>
      </c>
      <c r="X75" s="12" t="inlineStr">
        <is>
          <t>Done</t>
        </is>
      </c>
      <c r="Y75" s="13">
        <f>IF(X75="Done",1,IF(X75="QA",0.9,IF(X75="Code Review",0.75,IF(X75="In Development",0.5,IF(X75="Ready",0.1,0)))))</f>
        <v/>
      </c>
      <c r="Z75" s="12" t="n"/>
      <c r="AA75" s="12" t="inlineStr">
        <is>
          <t>TC-119-B</t>
        </is>
      </c>
      <c r="AB75" s="12" t="inlineStr">
        <is>
          <t>Approved screen design; story reviewed with Revenue Manager; dependencies, API contract, role permissions and test data identified.</t>
        </is>
      </c>
      <c r="AC75" s="12" t="inlineStr">
        <is>
          <t>Code reviewed; unit, API, UI, RBAC and integration tests pass; accessibility and responsive states verified; audit evidence captured; product owner accepts in staging.</t>
        </is>
      </c>
      <c r="AD75" s="12" t="inlineStr">
        <is>
          <t>Editor has the mockup's seven tabs - Rule Details, Date &amp; Stay, Room &amp; Rate Plan, Pricing, Restrictions, Preview &amp; Conflicts, Audit - plus the Quick Summary strip and Save Draft / Pause / Deactivate / Duplicate / Publish. CONFLICTS ARE COMPUTED, not asserted: two published rules that share a priority, overlap in dates AND weekdays, and can both reach the same room type and rate plan are reported, with an empty link list correctly treated as 'all'. VERIFIED: two rules on Mon-Thu and Wed-Fri at the same priority were reported as clashing on Wed and Thu, and the conflict cleared when one was re-prioritised. Publishing a rule whose window has not opened stores it as Scheduled rather than showing it live for weeks. Duplicate copies to a new name and starts as a draft so it cannot price anything unreviewed.</t>
        </is>
      </c>
    </row>
    <row r="76" ht="78" customHeight="1" s="43">
      <c r="A76" s="11" t="n">
        <v>1</v>
      </c>
      <c r="B76" s="11" t="n">
        <v>72</v>
      </c>
      <c r="C76" s="12" t="inlineStr">
        <is>
          <t>US-119-03</t>
        </is>
      </c>
      <c r="D76" s="12" t="inlineStr">
        <is>
          <t>Control permissions, overrides and audit for Rate Rule Editor</t>
        </is>
      </c>
      <c r="E76" s="12" t="inlineStr">
        <is>
          <t>EPIC-22</t>
        </is>
      </c>
      <c r="F76" s="12" t="inlineStr">
        <is>
          <t>Revenue Management</t>
        </is>
      </c>
      <c r="G76" s="12" t="inlineStr">
        <is>
          <t>Rate Rules</t>
        </is>
      </c>
      <c r="H76" s="11" t="inlineStr">
        <is>
          <t>SCR-119</t>
        </is>
      </c>
      <c r="I76" s="12" t="inlineStr">
        <is>
          <t>Rate Rule Editor</t>
        </is>
      </c>
      <c r="J76" s="12" t="inlineStr">
        <is>
          <t>Security / Exceptions</t>
        </is>
      </c>
      <c r="K76" s="12" t="inlineStr">
        <is>
          <t>Revenue Manager</t>
        </is>
      </c>
      <c r="L76" s="12" t="inlineStr">
        <is>
          <t>As a department supervisor or auditor, I want sensitive actions in Rate Rule Editor to follow permissions, approval limits and audit rules, so that resort operations remain secure, compliant and traceable.</t>
        </is>
      </c>
      <c r="M76" s="12" t="inlineStr">
        <is>
          <t>Reduces fraud, privacy leakage, unauthorized overrides and unresolved operational disputes.</t>
        </is>
      </c>
      <c r="N76" s="12" t="inlineStr">
        <is>
          <t>Roles, permissions, approval hierarchy and audit service are configured; allowed and denied test users exist.</t>
        </is>
      </c>
      <c r="O7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76" s="12" t="inlineStr">
        <is>
          <t>Tampered IDs, expired sessions, approval-limit violations and cross-tenant requests are rejected; secrets and sensitive guest/payment fields are never written to logs.</t>
        </is>
      </c>
      <c r="Q76" s="12" t="inlineStr">
        <is>
          <t>Tenant/property scope; required fields; optimistic locking; timezone-safe dates; reason mandatory for overrides; currency precision; tax/rate totals; approval limit; no unbalanced or duplicate posting</t>
        </is>
      </c>
      <c r="R76" s="12" t="inlineStr">
        <is>
          <t>Rooms, Distribution, Reservations</t>
        </is>
      </c>
      <c r="S76" s="12" t="inlineStr">
        <is>
          <t>GET, POST, PUT/PATCH, DELETE /api/v1/rate-rule-editor; lookup, validation and audit endpoints; idempotency for financial/booking writes; entities: rate_plans, rate_rules, packages, restrictions, inventory_controls</t>
        </is>
      </c>
      <c r="T76" s="12" t="inlineStr">
        <is>
          <t>Must Have</t>
        </is>
      </c>
      <c r="U76" s="12" t="inlineStr">
        <is>
          <t>MVP</t>
        </is>
      </c>
      <c r="V76" s="34" t="n">
        <v>5</v>
      </c>
      <c r="W76" s="12" t="inlineStr">
        <is>
          <t>S03-S04</t>
        </is>
      </c>
      <c r="X76" s="12" t="inlineStr">
        <is>
          <t>Done</t>
        </is>
      </c>
      <c r="Y76" s="13">
        <f>IF(X76="Done",1,IF(X76="QA",0.9,IF(X76="Code Review",0.75,IF(X76="In Development",0.5,IF(X76="Ready",0.1,0)))))</f>
        <v/>
      </c>
      <c r="Z76" s="12" t="n"/>
      <c r="AA76" s="12" t="inlineStr">
        <is>
          <t>TC-119-C</t>
        </is>
      </c>
      <c r="AB76" s="12" t="inlineStr">
        <is>
          <t>Approved screen design; story reviewed with Revenue Manager; dependencies, API contract, role permissions and test data identified.</t>
        </is>
      </c>
      <c r="AC76" s="12" t="inlineStr">
        <is>
          <t>Code reviewed; unit, API, UI, RBAC and integration tests pass; accessibility and responsive states verified; audit evidence captured; product owner accepts in staging.</t>
        </is>
      </c>
      <c r="AD76" s="12" t="inlineStr">
        <is>
          <t>SIMULATE runs the real chain - the calendar's rate for the date falling back to the room type, then the rate plan's own pricing, then each applicable rule in priority order - so the preview cannot disagree with the configuration. VERIFIED live in the UI: 14 Sep 2026, Deluxe Sea View, BAR, 20 days ahead gave base 6,500 -&gt; BAR fixed price 3,000 -&gt; Monsoon Advance Saver -15% -&gt; final 2,550, each step shown with its reason. It also explains what did NOT apply: booking only 2 days ahead skipped the rule needing 7+, a Saturday fell outside its Mon-Thu days, and with no rate plan chosen the plan-specific rule was skipped. Validation, all 422: end before start, discount over 100%, negative adjustment, weekday outside 1-7, a fixed rate on an adjustment rule and vice versa, min stay 0, max below min stay, an inverted advance-booking window, specific-rate-plans with none chosen, a room type from another property, and an unknown status. Optimistic locking 409, duplicate name 409, unknown rule 404, audit on create/update/every status change, RBAC 401/403/403 cross-property. Channel scope is disabled with a note: it needs Distribution (024/120), which is not built.</t>
        </is>
      </c>
    </row>
    <row r="77" ht="78" customHeight="1" s="43">
      <c r="A77" s="11" t="n">
        <v>1</v>
      </c>
      <c r="B77" s="11" t="n">
        <v>73</v>
      </c>
      <c r="C77" s="12" t="inlineStr">
        <is>
          <t>US-120-01</t>
        </is>
      </c>
      <c r="D77" s="12" t="inlineStr">
        <is>
          <t>View and find information in Channel Connection and Mapping</t>
        </is>
      </c>
      <c r="E77" s="12" t="inlineStr">
        <is>
          <t>EPIC-18</t>
        </is>
      </c>
      <c r="F77" s="12" t="inlineStr">
        <is>
          <t>Distribution</t>
        </is>
      </c>
      <c r="G77" s="12" t="inlineStr">
        <is>
          <t>Channel Integration</t>
        </is>
      </c>
      <c r="H77" s="11" t="inlineStr">
        <is>
          <t>SCR-120</t>
        </is>
      </c>
      <c r="I77" s="12" t="inlineStr">
        <is>
          <t>Channel Connection and Mapping</t>
        </is>
      </c>
      <c r="J77" s="12" t="inlineStr">
        <is>
          <t>View / Search</t>
        </is>
      </c>
      <c r="K77" s="12" t="inlineStr">
        <is>
          <t>Revenue Manager</t>
        </is>
      </c>
      <c r="L77" s="12" t="inlineStr">
        <is>
          <t>As a Revenue Manager, I want to open Channel Connection and Mapping and find relevant records using search, filters and sorting, so that I can make accurate operational decisions.</t>
        </is>
      </c>
      <c r="M77" s="12" t="inlineStr">
        <is>
          <t>Provides timely visibility for channel integration and reduces manual lookup effort.</t>
        </is>
      </c>
      <c r="N77" s="12" t="inlineStr">
        <is>
          <t>Authenticated user; active property; view permission for Distribution; Rates, Rooms, Reservations data available.</t>
        </is>
      </c>
      <c r="O77" s="12" t="inlineStr">
        <is>
          <t>Given I am authenticated as Revenue Manager with access to the selected property, when I open Channel Connection and Mapping,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77" s="12" t="inlineStr">
        <is>
          <t>Cross-property data never appears; unauthorized fields are masked; invalid filters do not break the screen; unavailable services return a controlled message.</t>
        </is>
      </c>
      <c r="Q77" s="12" t="inlineStr">
        <is>
          <t>Tenant/property scope; required fields; optimistic locking; timezone-safe dates; reason mandatory for overrides; valid status transition; linked-record integrity</t>
        </is>
      </c>
      <c r="R77" s="12" t="inlineStr">
        <is>
          <t>Rates, Rooms, Reservations</t>
        </is>
      </c>
      <c r="S77" s="12" t="inlineStr">
        <is>
          <t>GET, POST, PUT/PATCH, DELETE /api/v1/channel-connection-and-mapping; lookup, validation and audit endpoints; idempotency for financial/booking writes; entities: channels, channel_mappings, sync_jobs, restrictions</t>
        </is>
      </c>
      <c r="T77" s="12" t="inlineStr">
        <is>
          <t>Must Have</t>
        </is>
      </c>
      <c r="U77" s="12" t="inlineStr">
        <is>
          <t>MVP</t>
        </is>
      </c>
      <c r="V77" s="34" t="n">
        <v>3</v>
      </c>
      <c r="W77" s="12" t="inlineStr">
        <is>
          <t>S03-S04</t>
        </is>
      </c>
      <c r="X77" s="12" t="inlineStr">
        <is>
          <t>Backlog</t>
        </is>
      </c>
      <c r="Y77" s="13">
        <f>IF(X77="Done",1,IF(X77="QA",0.9,IF(X77="Code Review",0.75,IF(X77="In Development",0.5,IF(X77="Ready",0.1,0)))))</f>
        <v/>
      </c>
      <c r="Z77" s="12" t="n"/>
      <c r="AA77" s="12" t="inlineStr">
        <is>
          <t>TC-120-A</t>
        </is>
      </c>
      <c r="AB77" s="12" t="inlineStr">
        <is>
          <t>Approved screen design; story reviewed with Revenue Manager; dependencies, API contract, role permissions and test data identified.</t>
        </is>
      </c>
      <c r="AC77" s="12" t="inlineStr">
        <is>
          <t>Code reviewed; unit, API, UI, RBAC and integration tests pass; accessibility and responsive states verified; audit evidence captured; product owner accepts in staging.</t>
        </is>
      </c>
      <c r="AD77" s="12" t="n"/>
    </row>
    <row r="78" ht="78" customHeight="1" s="43">
      <c r="A78" s="11" t="n">
        <v>1</v>
      </c>
      <c r="B78" s="11" t="n">
        <v>74</v>
      </c>
      <c r="C78" s="12" t="inlineStr">
        <is>
          <t>US-120-02</t>
        </is>
      </c>
      <c r="D78" s="12" t="inlineStr">
        <is>
          <t>Complete the primary Channel Connection and Mapping workflow</t>
        </is>
      </c>
      <c r="E78" s="12" t="inlineStr">
        <is>
          <t>EPIC-18</t>
        </is>
      </c>
      <c r="F78" s="12" t="inlineStr">
        <is>
          <t>Distribution</t>
        </is>
      </c>
      <c r="G78" s="12" t="inlineStr">
        <is>
          <t>Channel Integration</t>
        </is>
      </c>
      <c r="H78" s="11" t="inlineStr">
        <is>
          <t>SCR-120</t>
        </is>
      </c>
      <c r="I78" s="12" t="inlineStr">
        <is>
          <t>Channel Connection and Mapping</t>
        </is>
      </c>
      <c r="J78" s="12" t="inlineStr">
        <is>
          <t>Primary Workflow</t>
        </is>
      </c>
      <c r="K78" s="12" t="inlineStr">
        <is>
          <t>Revenue Manager</t>
        </is>
      </c>
      <c r="L78" s="12" t="inlineStr">
        <is>
          <t>As a Revenue Manager, I want to list, search, filter, view, create, edit, cancel/delete under policy, export in Channel Connection and Mapping, so that the channel integration process is completed accurately without duplicate or inconsistent records.</t>
        </is>
      </c>
      <c r="M78" s="12" t="inlineStr">
        <is>
          <t>Enable distribution users to manage channel integration through the Channel Connection and Mapping workflow with real-time status, validations and traceability.</t>
        </is>
      </c>
      <c r="N78" s="12" t="inlineStr">
        <is>
          <t>View access confirmed; required masters and linked records exist; Rates, Rooms, Reservations services are available; approval limit is valid.</t>
        </is>
      </c>
      <c r="O7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channel connection and mapping workflow; invalid or conflicting actions are blocked with clear messages; saved changes appear in related screens; sensitive changes are auditable.</t>
        </is>
      </c>
      <c r="P78" s="12" t="inlineStr">
        <is>
          <t>Duplicate submission is idempotent; stale data returns a refresh/conflict message; invalid status transitions are blocked; partial failure rolls back without orphan records.</t>
        </is>
      </c>
      <c r="Q78" s="12" t="inlineStr">
        <is>
          <t>Tenant/property scope; required fields; optimistic locking; timezone-safe dates; reason mandatory for overrides; valid status transition; linked-record integrity</t>
        </is>
      </c>
      <c r="R78" s="12" t="inlineStr">
        <is>
          <t>Rates, Rooms, Reservations</t>
        </is>
      </c>
      <c r="S78" s="12" t="inlineStr">
        <is>
          <t>GET, POST, PUT/PATCH, DELETE /api/v1/channel-connection-and-mapping; lookup, validation and audit endpoints; idempotency for financial/booking writes; entities: channels, channel_mappings, sync_jobs, restrictions</t>
        </is>
      </c>
      <c r="T78" s="12" t="inlineStr">
        <is>
          <t>Must Have</t>
        </is>
      </c>
      <c r="U78" s="12" t="inlineStr">
        <is>
          <t>MVP</t>
        </is>
      </c>
      <c r="V78" s="34" t="n">
        <v>8</v>
      </c>
      <c r="W78" s="12" t="inlineStr">
        <is>
          <t>S03-S04</t>
        </is>
      </c>
      <c r="X78" s="12" t="inlineStr">
        <is>
          <t>Backlog</t>
        </is>
      </c>
      <c r="Y78" s="13">
        <f>IF(X78="Done",1,IF(X78="QA",0.9,IF(X78="Code Review",0.75,IF(X78="In Development",0.5,IF(X78="Ready",0.1,0)))))</f>
        <v/>
      </c>
      <c r="Z78" s="12" t="n"/>
      <c r="AA78" s="12" t="inlineStr">
        <is>
          <t>TC-120-B</t>
        </is>
      </c>
      <c r="AB78" s="12" t="inlineStr">
        <is>
          <t>Approved screen design; story reviewed with Revenue Manager; dependencies, API contract, role permissions and test data identified.</t>
        </is>
      </c>
      <c r="AC78" s="12" t="inlineStr">
        <is>
          <t>Code reviewed; unit, API, UI, RBAC and integration tests pass; accessibility and responsive states verified; audit evidence captured; product owner accepts in staging.</t>
        </is>
      </c>
      <c r="AD78" s="12" t="n"/>
    </row>
    <row r="79" ht="78" customHeight="1" s="43">
      <c r="A79" s="11" t="n">
        <v>1</v>
      </c>
      <c r="B79" s="11" t="n">
        <v>75</v>
      </c>
      <c r="C79" s="12" t="inlineStr">
        <is>
          <t>US-120-03</t>
        </is>
      </c>
      <c r="D79" s="12" t="inlineStr">
        <is>
          <t>Control permissions, overrides and audit for Channel Connection and Mapping</t>
        </is>
      </c>
      <c r="E79" s="12" t="inlineStr">
        <is>
          <t>EPIC-18</t>
        </is>
      </c>
      <c r="F79" s="12" t="inlineStr">
        <is>
          <t>Distribution</t>
        </is>
      </c>
      <c r="G79" s="12" t="inlineStr">
        <is>
          <t>Channel Integration</t>
        </is>
      </c>
      <c r="H79" s="11" t="inlineStr">
        <is>
          <t>SCR-120</t>
        </is>
      </c>
      <c r="I79" s="12" t="inlineStr">
        <is>
          <t>Channel Connection and Mapping</t>
        </is>
      </c>
      <c r="J79" s="12" t="inlineStr">
        <is>
          <t>Security / Exceptions</t>
        </is>
      </c>
      <c r="K79" s="12" t="inlineStr">
        <is>
          <t>Revenue Manager</t>
        </is>
      </c>
      <c r="L79" s="12" t="inlineStr">
        <is>
          <t>As a department supervisor or auditor, I want sensitive actions in Channel Connection and Mapping to follow permissions, approval limits and audit rules, so that resort operations remain secure, compliant and traceable.</t>
        </is>
      </c>
      <c r="M79" s="12" t="inlineStr">
        <is>
          <t>Reduces fraud, privacy leakage, unauthorized overrides and unresolved operational disputes.</t>
        </is>
      </c>
      <c r="N79" s="12" t="inlineStr">
        <is>
          <t>Roles, permissions, approval hierarchy and audit service are configured; allowed and denied test users exist.</t>
        </is>
      </c>
      <c r="O7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79" s="12" t="inlineStr">
        <is>
          <t>Tampered IDs, expired sessions, approval-limit violations and cross-tenant requests are rejected; secrets and sensitive guest/payment fields are never written to logs.</t>
        </is>
      </c>
      <c r="Q79" s="12" t="inlineStr">
        <is>
          <t>Tenant/property scope; required fields; optimistic locking; timezone-safe dates; reason mandatory for overrides; valid status transition; linked-record integrity</t>
        </is>
      </c>
      <c r="R79" s="12" t="inlineStr">
        <is>
          <t>Rates, Rooms, Reservations</t>
        </is>
      </c>
      <c r="S79" s="12" t="inlineStr">
        <is>
          <t>GET, POST, PUT/PATCH, DELETE /api/v1/channel-connection-and-mapping; lookup, validation and audit endpoints; idempotency for financial/booking writes; entities: channels, channel_mappings, sync_jobs, restrictions</t>
        </is>
      </c>
      <c r="T79" s="12" t="inlineStr">
        <is>
          <t>Must Have</t>
        </is>
      </c>
      <c r="U79" s="12" t="inlineStr">
        <is>
          <t>MVP</t>
        </is>
      </c>
      <c r="V79" s="34" t="n">
        <v>5</v>
      </c>
      <c r="W79" s="12" t="inlineStr">
        <is>
          <t>S03-S04</t>
        </is>
      </c>
      <c r="X79" s="12" t="inlineStr">
        <is>
          <t>Backlog</t>
        </is>
      </c>
      <c r="Y79" s="13">
        <f>IF(X79="Done",1,IF(X79="QA",0.9,IF(X79="Code Review",0.75,IF(X79="In Development",0.5,IF(X79="Ready",0.1,0)))))</f>
        <v/>
      </c>
      <c r="Z79" s="12" t="n"/>
      <c r="AA79" s="12" t="inlineStr">
        <is>
          <t>TC-120-C</t>
        </is>
      </c>
      <c r="AB79" s="12" t="inlineStr">
        <is>
          <t>Approved screen design; story reviewed with Revenue Manager; dependencies, API contract, role permissions and test data identified.</t>
        </is>
      </c>
      <c r="AC79" s="12" t="inlineStr">
        <is>
          <t>Code reviewed; unit, API, UI, RBAC and integration tests pass; accessibility and responsive states verified; audit evidence captured; product owner accepts in staging.</t>
        </is>
      </c>
      <c r="AD79" s="12" t="n"/>
    </row>
    <row r="80" ht="78" customHeight="1" s="43">
      <c r="A80" s="11" t="n">
        <v>1</v>
      </c>
      <c r="B80" s="11" t="n">
        <v>76</v>
      </c>
      <c r="C80" s="12" t="inlineStr">
        <is>
          <t>US-121-01</t>
        </is>
      </c>
      <c r="D80" s="12" t="inlineStr">
        <is>
          <t>View and find information in Bulk Restrictions and Stop Sell</t>
        </is>
      </c>
      <c r="E80" s="12" t="inlineStr">
        <is>
          <t>EPIC-22</t>
        </is>
      </c>
      <c r="F80" s="12" t="inlineStr">
        <is>
          <t>Revenue Management</t>
        </is>
      </c>
      <c r="G80" s="12" t="inlineStr">
        <is>
          <t>Restriction Control</t>
        </is>
      </c>
      <c r="H80" s="11" t="inlineStr">
        <is>
          <t>SCR-121</t>
        </is>
      </c>
      <c r="I80" s="12" t="inlineStr">
        <is>
          <t>Bulk Restrictions and Stop Sell</t>
        </is>
      </c>
      <c r="J80" s="12" t="inlineStr">
        <is>
          <t>View / Search</t>
        </is>
      </c>
      <c r="K80" s="12" t="inlineStr">
        <is>
          <t>Revenue Manager</t>
        </is>
      </c>
      <c r="L80" s="12" t="inlineStr">
        <is>
          <t>As a Revenue Manager, I want to open Bulk Restrictions and Stop Sell and find relevant records using search, filters and sorting, so that I can make accurate operational decisions.</t>
        </is>
      </c>
      <c r="M80" s="12" t="inlineStr">
        <is>
          <t>Provides timely visibility for restriction control and reduces manual lookup effort.</t>
        </is>
      </c>
      <c r="N80" s="12" t="inlineStr">
        <is>
          <t>Authenticated user; active property; view permission for Revenue Management; Rooms, Distribution, Reservations data available.</t>
        </is>
      </c>
      <c r="O80" s="12" t="inlineStr">
        <is>
          <t>Given I am authenticated as Revenue Manager with access to the selected property, when I open Bulk Restrictions and Stop Sell,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80" s="12" t="inlineStr">
        <is>
          <t>Cross-property data never appears; unauthorized fields are masked; invalid filters do not break the screen; unavailable services return a controlled message.</t>
        </is>
      </c>
      <c r="Q80" s="12" t="inlineStr">
        <is>
          <t>Tenant/property scope; required fields; optimistic locking; timezone-safe dates; reason mandatory for overrides; currency precision; tax/rate totals; approval limit; no unbalanced or duplicate posting</t>
        </is>
      </c>
      <c r="R80" s="12" t="inlineStr">
        <is>
          <t>Rooms, Distribution, Reservations</t>
        </is>
      </c>
      <c r="S80" s="12" t="inlineStr">
        <is>
          <t>GET, POST, PUT/PATCH, DELETE /api/v1/bulk-restrictions-and-stop-sell; lookup, validation and audit endpoints; idempotency for financial/booking writes; entities: rate_plans, rate_rules, packages, restrictions, inventory_controls</t>
        </is>
      </c>
      <c r="T80" s="12" t="inlineStr">
        <is>
          <t>Must Have</t>
        </is>
      </c>
      <c r="U80" s="12" t="inlineStr">
        <is>
          <t>MVP</t>
        </is>
      </c>
      <c r="V80" s="34" t="n">
        <v>3</v>
      </c>
      <c r="W80" s="12" t="inlineStr">
        <is>
          <t>S03-S04</t>
        </is>
      </c>
      <c r="X80" s="12" t="inlineStr">
        <is>
          <t>Backlog</t>
        </is>
      </c>
      <c r="Y80" s="13">
        <f>IF(X80="Done",1,IF(X80="QA",0.9,IF(X80="Code Review",0.75,IF(X80="In Development",0.5,IF(X80="Ready",0.1,0)))))</f>
        <v/>
      </c>
      <c r="Z80" s="12" t="n"/>
      <c r="AA80" s="12" t="inlineStr">
        <is>
          <t>TC-121-A</t>
        </is>
      </c>
      <c r="AB80" s="12" t="inlineStr">
        <is>
          <t>Approved screen design; story reviewed with Revenue Manager; dependencies, API contract, role permissions and test data identified.</t>
        </is>
      </c>
      <c r="AC80" s="12" t="inlineStr">
        <is>
          <t>Code reviewed; unit, API, UI, RBAC and integration tests pass; accessibility and responsive states verified; audit evidence captured; product owner accepts in staging.</t>
        </is>
      </c>
      <c r="AD80" s="12" t="n"/>
    </row>
    <row r="81" ht="78" customHeight="1" s="43">
      <c r="A81" s="11" t="n">
        <v>1</v>
      </c>
      <c r="B81" s="11" t="n">
        <v>77</v>
      </c>
      <c r="C81" s="12" t="inlineStr">
        <is>
          <t>US-121-02</t>
        </is>
      </c>
      <c r="D81" s="12" t="inlineStr">
        <is>
          <t>Complete the primary Bulk Restrictions and Stop Sell workflow</t>
        </is>
      </c>
      <c r="E81" s="12" t="inlineStr">
        <is>
          <t>EPIC-22</t>
        </is>
      </c>
      <c r="F81" s="12" t="inlineStr">
        <is>
          <t>Revenue Management</t>
        </is>
      </c>
      <c r="G81" s="12" t="inlineStr">
        <is>
          <t>Restriction Control</t>
        </is>
      </c>
      <c r="H81" s="11" t="inlineStr">
        <is>
          <t>SCR-121</t>
        </is>
      </c>
      <c r="I81" s="12" t="inlineStr">
        <is>
          <t>Bulk Restrictions and Stop Sell</t>
        </is>
      </c>
      <c r="J81" s="12" t="inlineStr">
        <is>
          <t>Primary Workflow</t>
        </is>
      </c>
      <c r="K81" s="12" t="inlineStr">
        <is>
          <t>Revenue Manager</t>
        </is>
      </c>
      <c r="L81" s="12" t="inlineStr">
        <is>
          <t>As a Revenue Manager, I want to list, search, filter, view, create, edit, cancel/delete under policy, export in Bulk Restrictions and Stop Sell, so that the restriction control process is completed accurately without duplicate or inconsistent records.</t>
        </is>
      </c>
      <c r="M81" s="12" t="inlineStr">
        <is>
          <t>Enable revenue management users to manage restriction control through the Bulk Restrictions and Stop Sell workflow with real-time status, validations and traceability.</t>
        </is>
      </c>
      <c r="N81" s="12" t="inlineStr">
        <is>
          <t>View access confirmed; required masters and linked records exist; Rooms, Distribution, Reservations services are available; approval limit is valid.</t>
        </is>
      </c>
      <c r="O8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bulk restrictions and stop sell workflow; invalid or conflicting actions are blocked with clear messages; saved changes appear in related screens; sensitive changes are auditable.</t>
        </is>
      </c>
      <c r="P81" s="12" t="inlineStr">
        <is>
          <t>Duplicate submission is idempotent; stale data returns a refresh/conflict message; invalid status transitions are blocked; partial failure rolls back without orphan records.</t>
        </is>
      </c>
      <c r="Q81" s="12" t="inlineStr">
        <is>
          <t>Tenant/property scope; required fields; optimistic locking; timezone-safe dates; reason mandatory for overrides; currency precision; tax/rate totals; approval limit; no unbalanced or duplicate posting</t>
        </is>
      </c>
      <c r="R81" s="12" t="inlineStr">
        <is>
          <t>Rooms, Distribution, Reservations</t>
        </is>
      </c>
      <c r="S81" s="12" t="inlineStr">
        <is>
          <t>GET, POST, PUT/PATCH, DELETE /api/v1/bulk-restrictions-and-stop-sell; lookup, validation and audit endpoints; idempotency for financial/booking writes; entities: rate_plans, rate_rules, packages, restrictions, inventory_controls</t>
        </is>
      </c>
      <c r="T81" s="12" t="inlineStr">
        <is>
          <t>Must Have</t>
        </is>
      </c>
      <c r="U81" s="12" t="inlineStr">
        <is>
          <t>MVP</t>
        </is>
      </c>
      <c r="V81" s="34" t="n">
        <v>8</v>
      </c>
      <c r="W81" s="12" t="inlineStr">
        <is>
          <t>S03-S04</t>
        </is>
      </c>
      <c r="X81" s="12" t="inlineStr">
        <is>
          <t>Backlog</t>
        </is>
      </c>
      <c r="Y81" s="13">
        <f>IF(X81="Done",1,IF(X81="QA",0.9,IF(X81="Code Review",0.75,IF(X81="In Development",0.5,IF(X81="Ready",0.1,0)))))</f>
        <v/>
      </c>
      <c r="Z81" s="12" t="n"/>
      <c r="AA81" s="12" t="inlineStr">
        <is>
          <t>TC-121-B</t>
        </is>
      </c>
      <c r="AB81" s="12" t="inlineStr">
        <is>
          <t>Approved screen design; story reviewed with Revenue Manager; dependencies, API contract, role permissions and test data identified.</t>
        </is>
      </c>
      <c r="AC81" s="12" t="inlineStr">
        <is>
          <t>Code reviewed; unit, API, UI, RBAC and integration tests pass; accessibility and responsive states verified; audit evidence captured; product owner accepts in staging.</t>
        </is>
      </c>
      <c r="AD81" s="12" t="n"/>
    </row>
    <row r="82" ht="78" customHeight="1" s="43">
      <c r="A82" s="11" t="n">
        <v>1</v>
      </c>
      <c r="B82" s="11" t="n">
        <v>78</v>
      </c>
      <c r="C82" s="12" t="inlineStr">
        <is>
          <t>US-121-03</t>
        </is>
      </c>
      <c r="D82" s="12" t="inlineStr">
        <is>
          <t>Control permissions, overrides and audit for Bulk Restrictions and Stop Sell</t>
        </is>
      </c>
      <c r="E82" s="12" t="inlineStr">
        <is>
          <t>EPIC-22</t>
        </is>
      </c>
      <c r="F82" s="12" t="inlineStr">
        <is>
          <t>Revenue Management</t>
        </is>
      </c>
      <c r="G82" s="12" t="inlineStr">
        <is>
          <t>Restriction Control</t>
        </is>
      </c>
      <c r="H82" s="11" t="inlineStr">
        <is>
          <t>SCR-121</t>
        </is>
      </c>
      <c r="I82" s="12" t="inlineStr">
        <is>
          <t>Bulk Restrictions and Stop Sell</t>
        </is>
      </c>
      <c r="J82" s="12" t="inlineStr">
        <is>
          <t>Security / Exceptions</t>
        </is>
      </c>
      <c r="K82" s="12" t="inlineStr">
        <is>
          <t>Revenue Manager</t>
        </is>
      </c>
      <c r="L82" s="12" t="inlineStr">
        <is>
          <t>As a department supervisor or auditor, I want sensitive actions in Bulk Restrictions and Stop Sell to follow permissions, approval limits and audit rules, so that resort operations remain secure, compliant and traceable.</t>
        </is>
      </c>
      <c r="M82" s="12" t="inlineStr">
        <is>
          <t>Reduces fraud, privacy leakage, unauthorized overrides and unresolved operational disputes.</t>
        </is>
      </c>
      <c r="N82" s="12" t="inlineStr">
        <is>
          <t>Roles, permissions, approval hierarchy and audit service are configured; allowed and denied test users exist.</t>
        </is>
      </c>
      <c r="O8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82" s="12" t="inlineStr">
        <is>
          <t>Tampered IDs, expired sessions, approval-limit violations and cross-tenant requests are rejected; secrets and sensitive guest/payment fields are never written to logs.</t>
        </is>
      </c>
      <c r="Q82" s="12" t="inlineStr">
        <is>
          <t>Tenant/property scope; required fields; optimistic locking; timezone-safe dates; reason mandatory for overrides; currency precision; tax/rate totals; approval limit; no unbalanced or duplicate posting</t>
        </is>
      </c>
      <c r="R82" s="12" t="inlineStr">
        <is>
          <t>Rooms, Distribution, Reservations</t>
        </is>
      </c>
      <c r="S82" s="12" t="inlineStr">
        <is>
          <t>GET, POST, PUT/PATCH, DELETE /api/v1/bulk-restrictions-and-stop-sell; lookup, validation and audit endpoints; idempotency for financial/booking writes; entities: rate_plans, rate_rules, packages, restrictions, inventory_controls</t>
        </is>
      </c>
      <c r="T82" s="12" t="inlineStr">
        <is>
          <t>Must Have</t>
        </is>
      </c>
      <c r="U82" s="12" t="inlineStr">
        <is>
          <t>MVP</t>
        </is>
      </c>
      <c r="V82" s="34" t="n">
        <v>5</v>
      </c>
      <c r="W82" s="12" t="inlineStr">
        <is>
          <t>S03-S04</t>
        </is>
      </c>
      <c r="X82" s="12" t="inlineStr">
        <is>
          <t>Backlog</t>
        </is>
      </c>
      <c r="Y82" s="13">
        <f>IF(X82="Done",1,IF(X82="QA",0.9,IF(X82="Code Review",0.75,IF(X82="In Development",0.5,IF(X82="Ready",0.1,0)))))</f>
        <v/>
      </c>
      <c r="Z82" s="12" t="n"/>
      <c r="AA82" s="12" t="inlineStr">
        <is>
          <t>TC-121-C</t>
        </is>
      </c>
      <c r="AB82" s="12" t="inlineStr">
        <is>
          <t>Approved screen design; story reviewed with Revenue Manager; dependencies, API contract, role permissions and test data identified.</t>
        </is>
      </c>
      <c r="AC82" s="12" t="inlineStr">
        <is>
          <t>Code reviewed; unit, API, UI, RBAC and integration tests pass; accessibility and responsive states verified; audit evidence captured; product owner accepts in staging.</t>
        </is>
      </c>
      <c r="AD82" s="12" t="n"/>
    </row>
    <row r="83" ht="78" customHeight="1" s="43">
      <c r="A83" s="11" t="n">
        <v>1</v>
      </c>
      <c r="B83" s="11" t="n">
        <v>79</v>
      </c>
      <c r="C83" s="12" t="inlineStr">
        <is>
          <t>US-002-01</t>
        </is>
      </c>
      <c r="D83" s="12" t="inlineStr">
        <is>
          <t>View and find information in Room Rack</t>
        </is>
      </c>
      <c r="E83" s="12" t="inlineStr">
        <is>
          <t>EPIC-02</t>
        </is>
      </c>
      <c r="F83" s="12" t="inlineStr">
        <is>
          <t>Front Desk</t>
        </is>
      </c>
      <c r="G83" s="12" t="inlineStr">
        <is>
          <t>Room Operations</t>
        </is>
      </c>
      <c r="H83" s="11" t="inlineStr">
        <is>
          <t>SCR-002</t>
        </is>
      </c>
      <c r="I83" s="12" t="inlineStr">
        <is>
          <t>Room Rack</t>
        </is>
      </c>
      <c r="J83" s="12" t="inlineStr">
        <is>
          <t>View / Search</t>
        </is>
      </c>
      <c r="K83" s="12" t="inlineStr">
        <is>
          <t>Front Office Manager</t>
        </is>
      </c>
      <c r="L83" s="12" t="inlineStr">
        <is>
          <t>As a Front Office Manager, I want to open Room Rack and find relevant records using search, filters and sorting, so that I can make accurate operational decisions.</t>
        </is>
      </c>
      <c r="M83" s="12" t="inlineStr">
        <is>
          <t>Provides timely visibility for room operations and reduces manual lookup effort.</t>
        </is>
      </c>
      <c r="N83" s="12" t="inlineStr">
        <is>
          <t>Authenticated user; active property; view permission for Front Desk; Reservations, Rooms, Finance data available.</t>
        </is>
      </c>
      <c r="O83" s="12" t="inlineStr">
        <is>
          <t>Given I am authenticated as Front Office Manager with access to the selected property, when I open Room Rack,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83" s="12" t="inlineStr">
        <is>
          <t>Cross-property data never appears; unauthorized fields are masked; invalid filters do not break the screen; unavailable services return a controlled message.</t>
        </is>
      </c>
      <c r="Q83" s="12" t="inlineStr">
        <is>
          <t>Tenant/property scope; required fields; optimistic locking; timezone-safe dates; reason mandatory for overrides; availability and overlap check; status-transition rules; cancellation policy</t>
        </is>
      </c>
      <c r="R83" s="12" t="inlineStr">
        <is>
          <t>Reservations, Rooms, Finance</t>
        </is>
      </c>
      <c r="S83" s="12" t="inlineStr">
        <is>
          <t>GET, POST, PUT/PATCH, DELETE /api/v1/room-rack; lookup, validation and audit endpoints; idempotency for financial/booking writes; entities: stays, room_assignments, folios, keys</t>
        </is>
      </c>
      <c r="T83" s="12" t="inlineStr">
        <is>
          <t>Must Have</t>
        </is>
      </c>
      <c r="U83" s="12" t="inlineStr">
        <is>
          <t>MVP</t>
        </is>
      </c>
      <c r="V83" s="34" t="n">
        <v>3</v>
      </c>
      <c r="W83" s="12" t="inlineStr">
        <is>
          <t>S05-S07</t>
        </is>
      </c>
      <c r="X83" s="12" t="inlineStr">
        <is>
          <t>Done</t>
        </is>
      </c>
      <c r="Y83" s="13" t="n">
        <v>1</v>
      </c>
      <c r="Z83" s="12" t="n"/>
      <c r="AA83" s="12" t="inlineStr">
        <is>
          <t>TC-002-A</t>
        </is>
      </c>
      <c r="AB83" s="12" t="inlineStr">
        <is>
          <t>Approved screen design; story reviewed with Front Office Manager; dependencies, API contract, role permissions and test data identified.</t>
        </is>
      </c>
      <c r="AC83" s="12" t="inlineStr">
        <is>
          <t>Code reviewed; unit, API, UI, RBAC and integration tests pass; accessibility and responsive states verified; audit evidence captured; product owner accepts in staging.</t>
        </is>
      </c>
      <c r="AD83" s="12" t="inlineStr">
        <is>
          <t xml:space="preserve"> BUILT 2026-09-10. New GET /room-rack returns every active room for one day with an hour-by-hour timeline. Bars come from booking.room_calendar_entries (the same table the GiST exclusion constraint guards, so a bar cannot disagree with what the system will allow), maintenance from the same table with kind='maintenance', and cleaning from operations.housekeeping_tasks - only tasks actually STARTED, because an unstarted task is a plan, not an event. Five filter chips (All/Available/Occupied/Reserved/Dirty/Maintenance) with live counts that sum to the room total; client-side search over room code, type, guest name and reservation number; day back/forward. Verified in Chrome: chips filter, counts correct (56 rooms = 25 available + 6 occupied + 1 reserved + 24 dirty + 0 maintenance), no console errors.</t>
        </is>
      </c>
    </row>
    <row r="84" ht="78" customHeight="1" s="43">
      <c r="A84" s="11" t="n">
        <v>1</v>
      </c>
      <c r="B84" s="11" t="n">
        <v>80</v>
      </c>
      <c r="C84" s="12" t="inlineStr">
        <is>
          <t>US-002-02</t>
        </is>
      </c>
      <c r="D84" s="12" t="inlineStr">
        <is>
          <t>Complete the primary Room Rack workflow</t>
        </is>
      </c>
      <c r="E84" s="12" t="inlineStr">
        <is>
          <t>EPIC-02</t>
        </is>
      </c>
      <c r="F84" s="12" t="inlineStr">
        <is>
          <t>Front Desk</t>
        </is>
      </c>
      <c r="G84" s="12" t="inlineStr">
        <is>
          <t>Room Operations</t>
        </is>
      </c>
      <c r="H84" s="11" t="inlineStr">
        <is>
          <t>SCR-002</t>
        </is>
      </c>
      <c r="I84" s="12" t="inlineStr">
        <is>
          <t>Room Rack</t>
        </is>
      </c>
      <c r="J84" s="12" t="inlineStr">
        <is>
          <t>Primary Workflow</t>
        </is>
      </c>
      <c r="K84" s="12" t="inlineStr">
        <is>
          <t>Front Office Manager</t>
        </is>
      </c>
      <c r="L84" s="12" t="inlineStr">
        <is>
          <t>As a Front Office Manager, I want to list, search, filter, view, create, edit, cancel/delete under policy, export in Room Rack, so that the room operations process is completed accurately without duplicate or inconsistent records.</t>
        </is>
      </c>
      <c r="M84" s="12" t="inlineStr">
        <is>
          <t>Enable front desk users to manage room operations through the Room Rack workflow with real-time status, validations and traceability.</t>
        </is>
      </c>
      <c r="N84" s="12" t="inlineStr">
        <is>
          <t>View access confirmed; required masters and linked records exist; Reservations, Rooms, Finance services are available; approval limit is valid.</t>
        </is>
      </c>
      <c r="O8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room rack workflow; invalid or conflicting actions are blocked with clear messages; saved changes appear in related screens; sensitive changes are auditable.</t>
        </is>
      </c>
      <c r="P84" s="12" t="inlineStr">
        <is>
          <t>Duplicate submission is idempotent; stale data returns a refresh/conflict message; invalid status transitions are blocked; partial failure rolls back without orphan records.</t>
        </is>
      </c>
      <c r="Q84" s="12" t="inlineStr">
        <is>
          <t>Tenant/property scope; required fields; optimistic locking; timezone-safe dates; reason mandatory for overrides; availability and overlap check; status-transition rules; cancellation policy</t>
        </is>
      </c>
      <c r="R84" s="12" t="inlineStr">
        <is>
          <t>Reservations, Rooms, Finance</t>
        </is>
      </c>
      <c r="S84" s="12" t="inlineStr">
        <is>
          <t>GET, POST, PUT/PATCH, DELETE /api/v1/room-rack; lookup, validation and audit endpoints; idempotency for financial/booking writes; entities: stays, room_assignments, folios, keys</t>
        </is>
      </c>
      <c r="T84" s="12" t="inlineStr">
        <is>
          <t>Must Have</t>
        </is>
      </c>
      <c r="U84" s="12" t="inlineStr">
        <is>
          <t>MVP</t>
        </is>
      </c>
      <c r="V84" s="34" t="n">
        <v>8</v>
      </c>
      <c r="W84" s="12" t="inlineStr">
        <is>
          <t>S05-S07</t>
        </is>
      </c>
      <c r="X84" s="12" t="inlineStr">
        <is>
          <t>Done</t>
        </is>
      </c>
      <c r="Y84" s="13" t="n">
        <v>1</v>
      </c>
      <c r="Z84" s="12" t="n"/>
      <c r="AA84" s="12" t="inlineStr">
        <is>
          <t>TC-002-B</t>
        </is>
      </c>
      <c r="AB84" s="12" t="inlineStr">
        <is>
          <t>Approved screen design; story reviewed with Front Office Manager; dependencies, API contract, role permissions and test data identified.</t>
        </is>
      </c>
      <c r="AC84" s="12" t="inlineStr">
        <is>
          <t>Code reviewed; unit, API, UI, RBAC and integration tests pass; accessibility and responsive states verified; audit evidence captured; product owner accepts in staging.</t>
        </is>
      </c>
      <c r="AD84" s="12" t="inlineStr">
        <is>
          <t xml:space="preserve"> BUILT 2026-09-10. Bar placement is honest about what it knows: a stay that began before today starts at the left edge with a squared-off end; one arriving today starts at the recorded check-in time if there is one, otherwise at the property's published check-in (14:00), and the bar carries time_is_actual so an EXPECTED 2pm arrival is never drawn as one that happened - a dot marks recorded times. Departures mirror it against checkout (11:00). A 'now' line is drawn from the server clock, not the browser's, and only when the day on screen is today. Bars link through to check-in. Quick Actions and the four KPI cards route to real screens. Front Desk landing is now the rack (per mockup); the old arrivals/departures list moved to /front-desk/arrivals and all 12 existing return links across GuestCheckIn/GuestCheckOut/RoomMove were repointed so those flows still land where they did. Week View routes to the existing Reservation Calendar (SCR-003) rather than duplicating it. NOT BUILT: the mockup's Walk-ins KPI - booking.reservations has no source column and the New Reservation Booking Source dropdown is collected then DISCARDED, so a walk-in count could only be guessed. The fourth card counts unassigned arrivals instead, which is true and actionable. Room photos: property.room_photos exists but holds 0 rows, so a coloured room tile is drawn and the real photo used when one is uploaded.</t>
        </is>
      </c>
    </row>
    <row r="85" ht="78" customHeight="1" s="43">
      <c r="A85" s="11" t="n">
        <v>1</v>
      </c>
      <c r="B85" s="11" t="n">
        <v>81</v>
      </c>
      <c r="C85" s="12" t="inlineStr">
        <is>
          <t>US-002-03</t>
        </is>
      </c>
      <c r="D85" s="12" t="inlineStr">
        <is>
          <t>Control permissions, overrides and audit for Room Rack</t>
        </is>
      </c>
      <c r="E85" s="12" t="inlineStr">
        <is>
          <t>EPIC-02</t>
        </is>
      </c>
      <c r="F85" s="12" t="inlineStr">
        <is>
          <t>Front Desk</t>
        </is>
      </c>
      <c r="G85" s="12" t="inlineStr">
        <is>
          <t>Room Operations</t>
        </is>
      </c>
      <c r="H85" s="11" t="inlineStr">
        <is>
          <t>SCR-002</t>
        </is>
      </c>
      <c r="I85" s="12" t="inlineStr">
        <is>
          <t>Room Rack</t>
        </is>
      </c>
      <c r="J85" s="12" t="inlineStr">
        <is>
          <t>Security / Exceptions</t>
        </is>
      </c>
      <c r="K85" s="12" t="inlineStr">
        <is>
          <t>Front Office Manager</t>
        </is>
      </c>
      <c r="L85" s="12" t="inlineStr">
        <is>
          <t>As a department supervisor or auditor, I want sensitive actions in Room Rack to follow permissions, approval limits and audit rules, so that resort operations remain secure, compliant and traceable.</t>
        </is>
      </c>
      <c r="M85" s="12" t="inlineStr">
        <is>
          <t>Reduces fraud, privacy leakage, unauthorized overrides and unresolved operational disputes.</t>
        </is>
      </c>
      <c r="N85" s="12" t="inlineStr">
        <is>
          <t>Roles, permissions, approval hierarchy and audit service are configured; allowed and denied test users exist.</t>
        </is>
      </c>
      <c r="O8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85" s="12" t="inlineStr">
        <is>
          <t>Tampered IDs, expired sessions, approval-limit violations and cross-tenant requests are rejected; secrets and sensitive guest/payment fields are never written to logs.</t>
        </is>
      </c>
      <c r="Q85" s="12" t="inlineStr">
        <is>
          <t>Tenant/property scope; required fields; optimistic locking; timezone-safe dates; reason mandatory for overrides; availability and overlap check; status-transition rules; cancellation policy</t>
        </is>
      </c>
      <c r="R85" s="12" t="inlineStr">
        <is>
          <t>Reservations, Rooms, Finance</t>
        </is>
      </c>
      <c r="S85" s="12" t="inlineStr">
        <is>
          <t>GET, POST, PUT/PATCH, DELETE /api/v1/room-rack; lookup, validation and audit endpoints; idempotency for financial/booking writes; entities: stays, room_assignments, folios, keys</t>
        </is>
      </c>
      <c r="T85" s="12" t="inlineStr">
        <is>
          <t>Must Have</t>
        </is>
      </c>
      <c r="U85" s="12" t="inlineStr">
        <is>
          <t>MVP</t>
        </is>
      </c>
      <c r="V85" s="34" t="n">
        <v>5</v>
      </c>
      <c r="W85" s="12" t="inlineStr">
        <is>
          <t>S05-S07</t>
        </is>
      </c>
      <c r="X85" s="12" t="inlineStr">
        <is>
          <t>Done</t>
        </is>
      </c>
      <c r="Y85" s="13" t="n">
        <v>1</v>
      </c>
      <c r="Z85" s="12" t="n"/>
      <c r="AA85" s="12" t="inlineStr">
        <is>
          <t>TC-002-C</t>
        </is>
      </c>
      <c r="AB85" s="12" t="inlineStr">
        <is>
          <t>Approved screen design; story reviewed with Front Office Manager; dependencies, API contract, role permissions and test data identified.</t>
        </is>
      </c>
      <c r="AC85" s="12" t="inlineStr">
        <is>
          <t>Code reviewed; unit, API, UI, RBAC and integration tests pass; accessibility and responsive states verified; audit evidence captured; product owner accepts in staging.</t>
        </is>
      </c>
      <c r="AD85" s="12" t="inlineStr">
        <is>
          <t xml:space="preserve"> 2026-09-10 PERMISSION FIX (iam 0013_rooms_view_grants): rooms.view was held by ONLY Administrator and Property IT Administrator while 37 read endpoints are guarded by it - the Room Rack, Reservation Calendar, room detail/history/assignable, rate calendar, rate plans, rate rules, meal plans, packages, promo codes, add-ons, amenities, buildings, floors and room blocks. Front Desk, Reservations, Housekeeping and Resort Manager were all locked out. Proven before the fix: anita.reddy (Front Desk + Reservations) got 403 rooms.view on GET /rooms while GET /reservations returned 200. Fifth migration of this kind after payments (0007), front_desk (0008), core (0009), housekeeping (0010): the code was right, the seed never granted it. GRANTED VIEW ONLY - rooms.edit spans 27 endpoints covering room status, room blocks AND the rate calendar, rate plans, packages and promo codes, so granting it to Housekeeping to mark a room clean would also hand them pricing; they do not need it because a housekeeping task drives operations.room_condition under housekeeping.edit. create/edit/configure/cancel/approve/export remain with the two administrator roles. Verified after: Front Desk and Housekeeping now 200 on Room Rack, Reservation Calendar, rate calendar, room detail and facets; both still 403 on POST /rooms; Housekeeping still correctly 403 on /reservations. STILL OPEN: the 'rates' resource has 7 permission rows, 0 grants and 0 code references - every rate screen is gated on 'rooms' instead, so the Rates role cannot be given rate access at all. Same for pos, reports, administration, ai_center, distribution. Splitting those needs its own migration. 2026-09-10. Guarded on rooms.view - which had to be granted first: see iam 0013_rooms_view_grants, without which this screen 403s for every role except the two admin ones. BUG FOUND AND FIXED DURING BUILD: the first lane precedence put maintenance above occupied, so room 102 - flagged service_status='maintenance' while Ananya Iyer is checked into it - was filed under Maintenance and its guest vanished from the front desk's day. A room with a guest in it is occupied whatever else is ticked against it; the flag now rides along as out_of_service and shows as a wrench badge, so both facts are visible. This is a real conflict in the data, not a display artifact, and the rack now surfaces it instead of hiding either half.</t>
        </is>
      </c>
    </row>
    <row r="86" ht="78" customHeight="1" s="43">
      <c r="A86" s="11" t="n">
        <v>1</v>
      </c>
      <c r="B86" s="11" t="n">
        <v>82</v>
      </c>
      <c r="C86" s="12" t="inlineStr">
        <is>
          <t>US-003-01</t>
        </is>
      </c>
      <c r="D86" s="12" t="inlineStr">
        <is>
          <t>View and find information in Reservation Calendar</t>
        </is>
      </c>
      <c r="E86" s="12" t="inlineStr">
        <is>
          <t>EPIC-03</t>
        </is>
      </c>
      <c r="F86" s="12" t="inlineStr">
        <is>
          <t>Reservations</t>
        </is>
      </c>
      <c r="G86" s="12" t="inlineStr">
        <is>
          <t>Availability &amp; Calendar</t>
        </is>
      </c>
      <c r="H86" s="11" t="inlineStr">
        <is>
          <t>SCR-003</t>
        </is>
      </c>
      <c r="I86" s="12" t="inlineStr">
        <is>
          <t>Reservation Calendar</t>
        </is>
      </c>
      <c r="J86" s="12" t="inlineStr">
        <is>
          <t>View / Search</t>
        </is>
      </c>
      <c r="K86" s="12" t="inlineStr">
        <is>
          <t>Reservation Manager</t>
        </is>
      </c>
      <c r="L86" s="12" t="inlineStr">
        <is>
          <t>As a Reservation Manager, I want to open Reservation Calendar and find relevant records using search, filters and sorting, so that I can make accurate operational decisions.</t>
        </is>
      </c>
      <c r="M86" s="12" t="inlineStr">
        <is>
          <t>Provides timely visibility for availability &amp; calendar and reduces manual lookup effort.</t>
        </is>
      </c>
      <c r="N86" s="12" t="inlineStr">
        <is>
          <t>Authenticated user; active property; view permission for Reservations; Rooms, Rates, Guests, Payments data available.</t>
        </is>
      </c>
      <c r="O86" s="12" t="inlineStr">
        <is>
          <t>Given I am authenticated as Reservation Manager with access to the selected property, when I open Reservation Calendar,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86" s="12" t="inlineStr">
        <is>
          <t>Cross-property data never appears; unauthorized fields are masked; invalid filters do not break the screen; unavailable services return a controlled message.</t>
        </is>
      </c>
      <c r="Q86" s="12" t="inlineStr">
        <is>
          <t>Tenant/property scope; required fields; optimistic locking; timezone-safe dates; reason mandatory for overrides; availability and overlap check; status-transition rules; cancellation policy</t>
        </is>
      </c>
      <c r="R86" s="12" t="inlineStr">
        <is>
          <t>Rooms, Rates, Guests, Payments</t>
        </is>
      </c>
      <c r="S86" s="12" t="inlineStr">
        <is>
          <t>GET, POST, PUT/PATCH, DELETE /api/v1/reservation-calendar; lookup, validation and audit endpoints; idempotency for financial/booking writes; entities: reservations, reservation_guests, reservation_items, deposits</t>
        </is>
      </c>
      <c r="T86" s="12" t="inlineStr">
        <is>
          <t>Must Have</t>
        </is>
      </c>
      <c r="U86" s="12" t="inlineStr">
        <is>
          <t>MVP</t>
        </is>
      </c>
      <c r="V86" s="34" t="n">
        <v>3</v>
      </c>
      <c r="W86" s="12" t="inlineStr">
        <is>
          <t>S05-S07</t>
        </is>
      </c>
      <c r="X86" s="12" t="inlineStr">
        <is>
          <t>Done</t>
        </is>
      </c>
      <c r="Y86" s="13" t="n">
        <v>1</v>
      </c>
      <c r="Z86" s="12" t="n"/>
      <c r="AA86" s="12" t="inlineStr">
        <is>
          <t>TC-003-A</t>
        </is>
      </c>
      <c r="AB86" s="12" t="inlineStr">
        <is>
          <t>Approved screen design; story reviewed with Reservation Manager; dependencies, API contract, role permissions and test data identified.</t>
        </is>
      </c>
      <c r="AC86" s="12" t="inlineStr">
        <is>
          <t>Code reviewed; unit, API, UI, RBAC and integration tests pass; accessibility and responsive states verified; audit evidence captured; product owner accepts in staging.</t>
        </is>
      </c>
      <c r="AD86" s="12" t="inlineStr">
        <is>
          <t>Reservation Calendar / room rack (mockup 003) view at /reservations, now the module's landing screen with the mockup's Calendar / List View toggle (the previous flat table became /reservations/list). GET /booking/reservation-calendar returns rooms grouped by room type, occupancy bars, and stats for a date window (capped at 92 days). Every bar is read from booking.room_calendar_entries - the same table the GiST exclusion constraint guards - so reservations and maintenance blocks come from one source and the rack cannot disagree with what the system will allow. 14-day window with prev/next/Today, Room Type and Status filters, weekend shading, the mockup's 4-colour legend (Confirmed / Tentative=held / Checked In / Blocked), and bars clipped to the window marked with arrows so a partial bar is not read as a short stay. NOTE: the mockup's Booking Source filter is deliberately absent - booking.reservations has no such column, and a dead dropdown would be worse than none. Layout follows the mockup: KPI cards are icon-chip + label + value + delta, filters carry their labels, room-type bands are colour-tinted and collapsible, and the legend sits bottom-left of the grid with the 'Showing &lt;range&gt; | N of M rooms booked' count bottom-right. The Selected Booking panel is rendered ONLY when a bar is picked - the rack takes the full width otherwise - so the panel is the answer to a question rather than a permanent empty card. Verified in Chrome: 44 rooms, AC repair blocks on 143/144, tinted bands for Garden Villa / Pay Test Suite / Reset Test, footer legend and count.</t>
        </is>
      </c>
    </row>
    <row r="87" ht="78" customHeight="1" s="43">
      <c r="A87" s="11" t="n">
        <v>1</v>
      </c>
      <c r="B87" s="11" t="n">
        <v>83</v>
      </c>
      <c r="C87" s="12" t="inlineStr">
        <is>
          <t>US-003-02</t>
        </is>
      </c>
      <c r="D87" s="12" t="inlineStr">
        <is>
          <t>Complete the primary Reservation Calendar workflow</t>
        </is>
      </c>
      <c r="E87" s="12" t="inlineStr">
        <is>
          <t>EPIC-03</t>
        </is>
      </c>
      <c r="F87" s="12" t="inlineStr">
        <is>
          <t>Reservations</t>
        </is>
      </c>
      <c r="G87" s="12" t="inlineStr">
        <is>
          <t>Availability &amp; Calendar</t>
        </is>
      </c>
      <c r="H87" s="11" t="inlineStr">
        <is>
          <t>SCR-003</t>
        </is>
      </c>
      <c r="I87" s="12" t="inlineStr">
        <is>
          <t>Reservation Calendar</t>
        </is>
      </c>
      <c r="J87" s="12" t="inlineStr">
        <is>
          <t>Primary Workflow</t>
        </is>
      </c>
      <c r="K87" s="12" t="inlineStr">
        <is>
          <t>Reservation Manager</t>
        </is>
      </c>
      <c r="L87" s="12" t="inlineStr">
        <is>
          <t>As a Reservation Manager, I want to view timeline, filter, create, assign, reschedule, conflict-check, cancel in Reservation Calendar, so that the availability &amp; calendar process is completed accurately without duplicate or inconsistent records.</t>
        </is>
      </c>
      <c r="M87" s="12" t="inlineStr">
        <is>
          <t>Enable reservations users to manage availability &amp; calendar through the Reservation Calendar workflow with real-time status, validations and traceability.</t>
        </is>
      </c>
      <c r="N87" s="12" t="inlineStr">
        <is>
          <t>View access confirmed; required masters and linked records exist; Rooms, Rates, Guests, Payments services are available; approval limit is valid.</t>
        </is>
      </c>
      <c r="O8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reservation calendar workflow; invalid or conflicting actions are blocked with clear messages; saved changes appear in related screens; sensitive changes are auditable.</t>
        </is>
      </c>
      <c r="P87" s="12" t="inlineStr">
        <is>
          <t>Duplicate submission is idempotent; stale data returns a refresh/conflict message; invalid status transitions are blocked; partial failure rolls back without orphan records.</t>
        </is>
      </c>
      <c r="Q87" s="12" t="inlineStr">
        <is>
          <t>Tenant/property scope; required fields; optimistic locking; timezone-safe dates; reason mandatory for overrides; availability and overlap check; status-transition rules; cancellation policy</t>
        </is>
      </c>
      <c r="R87" s="12" t="inlineStr">
        <is>
          <t>Rooms, Rates, Guests, Payments</t>
        </is>
      </c>
      <c r="S87" s="12" t="inlineStr">
        <is>
          <t>GET, POST, PUT/PATCH, DELETE /api/v1/reservation-calendar; lookup, validation and audit endpoints; idempotency for financial/booking writes; entities: reservations, reservation_guests, reservation_items, deposits</t>
        </is>
      </c>
      <c r="T87" s="12" t="inlineStr">
        <is>
          <t>Must Have</t>
        </is>
      </c>
      <c r="U87" s="12" t="inlineStr">
        <is>
          <t>MVP</t>
        </is>
      </c>
      <c r="V87" s="34" t="n">
        <v>8</v>
      </c>
      <c r="W87" s="12" t="inlineStr">
        <is>
          <t>S05-S07</t>
        </is>
      </c>
      <c r="X87" s="12" t="inlineStr">
        <is>
          <t>Done</t>
        </is>
      </c>
      <c r="Y87" s="13" t="n">
        <v>1</v>
      </c>
      <c r="Z87" s="12" t="n"/>
      <c r="AA87" s="12" t="inlineStr">
        <is>
          <t>TC-003-B</t>
        </is>
      </c>
      <c r="AB87" s="12" t="inlineStr">
        <is>
          <t>Approved screen design; story reviewed with Reservation Manager; dependencies, API contract, role permissions and test data identified.</t>
        </is>
      </c>
      <c r="AC87" s="12" t="inlineStr">
        <is>
          <t>Code reviewed; unit, API, UI, RBAC and integration tests pass; accessibility and responsive states verified; audit evidence captured; product owner accepts in staging.</t>
        </is>
      </c>
      <c r="AD87" s="12" t="inlineStr">
        <is>
          <t>Primary workflow - room assignment from the rack. Bookings with no room are returned in an UNASSIGNED LANE per room type (35 of 35 units are unassigned today, so this is the screen's real work queue); overlapping bars are packed into sub-rows so 35 same-date bookings do not draw on top of each other, in a bounded scroll area so the queue cannot push the rooms off screen. Room types with zero rooms still appear when they hold bookings (Garden Villa has bookings and no keys) - the group is created on demand, or those bookings would silently vanish. Selecting a bar fills the Selected Booking panel (guest, reservation no., check in/out, nights, guests) and, for an unassigned one, offers only rooms of the right type that are free for the whole stay, with View Reservation into the list drawer. 4 KPI cards (Total Bookings, Occupancy, Available Tonight, Room Revenue) with vs-previous-period deltas; occupancy uses the hotel definition - maintenance nights are removed from the denominator, not counted as sold. Verified in Chrome: assigned CBR24201 to room 101, bar moved from the queue onto the room lane, real room_calendar_entry written; reverted afterwards by id.</t>
        </is>
      </c>
    </row>
    <row r="88" ht="78" customHeight="1" s="43">
      <c r="A88" s="11" t="n">
        <v>1</v>
      </c>
      <c r="B88" s="11" t="n">
        <v>84</v>
      </c>
      <c r="C88" s="12" t="inlineStr">
        <is>
          <t>US-003-03</t>
        </is>
      </c>
      <c r="D88" s="12" t="inlineStr">
        <is>
          <t>Control permissions, overrides and audit for Reservation Calendar</t>
        </is>
      </c>
      <c r="E88" s="12" t="inlineStr">
        <is>
          <t>EPIC-03</t>
        </is>
      </c>
      <c r="F88" s="12" t="inlineStr">
        <is>
          <t>Reservations</t>
        </is>
      </c>
      <c r="G88" s="12" t="inlineStr">
        <is>
          <t>Availability &amp; Calendar</t>
        </is>
      </c>
      <c r="H88" s="11" t="inlineStr">
        <is>
          <t>SCR-003</t>
        </is>
      </c>
      <c r="I88" s="12" t="inlineStr">
        <is>
          <t>Reservation Calendar</t>
        </is>
      </c>
      <c r="J88" s="12" t="inlineStr">
        <is>
          <t>Security / Exceptions</t>
        </is>
      </c>
      <c r="K88" s="12" t="inlineStr">
        <is>
          <t>Reservation Manager</t>
        </is>
      </c>
      <c r="L88" s="12" t="inlineStr">
        <is>
          <t>As a department supervisor or auditor, I want sensitive actions in Reservation Calendar to follow permissions, approval limits and audit rules, so that resort operations remain secure, compliant and traceable.</t>
        </is>
      </c>
      <c r="M88" s="12" t="inlineStr">
        <is>
          <t>Reduces fraud, privacy leakage, unauthorized overrides and unresolved operational disputes.</t>
        </is>
      </c>
      <c r="N88" s="12" t="inlineStr">
        <is>
          <t>Roles, permissions, approval hierarchy and audit service are configured; allowed and denied test users exist.</t>
        </is>
      </c>
      <c r="O8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88" s="12" t="inlineStr">
        <is>
          <t>Tampered IDs, expired sessions, approval-limit violations and cross-tenant requests are rejected; secrets and sensitive guest/payment fields are never written to logs.</t>
        </is>
      </c>
      <c r="Q88" s="12" t="inlineStr">
        <is>
          <t>Tenant/property scope; required fields; optimistic locking; timezone-safe dates; reason mandatory for overrides; availability and overlap check; status-transition rules; cancellation policy</t>
        </is>
      </c>
      <c r="R88" s="12" t="inlineStr">
        <is>
          <t>Rooms, Rates, Guests, Payments</t>
        </is>
      </c>
      <c r="S88" s="12" t="inlineStr">
        <is>
          <t>GET, POST, PUT/PATCH, DELETE /api/v1/reservation-calendar; lookup, validation and audit endpoints; idempotency for financial/booking writes; entities: reservations, reservation_guests, reservation_items, deposits</t>
        </is>
      </c>
      <c r="T88" s="12" t="inlineStr">
        <is>
          <t>Must Have</t>
        </is>
      </c>
      <c r="U88" s="12" t="inlineStr">
        <is>
          <t>MVP</t>
        </is>
      </c>
      <c r="V88" s="34" t="n">
        <v>5</v>
      </c>
      <c r="W88" s="12" t="inlineStr">
        <is>
          <t>S05-S07</t>
        </is>
      </c>
      <c r="X88" s="12" t="inlineStr">
        <is>
          <t>Done</t>
        </is>
      </c>
      <c r="Y88" s="13" t="n">
        <v>1</v>
      </c>
      <c r="Z88" s="12" t="n"/>
      <c r="AA88" s="12" t="inlineStr">
        <is>
          <t>TC-003-C</t>
        </is>
      </c>
      <c r="AB88" s="12" t="inlineStr">
        <is>
          <t>Approved screen design; story reviewed with Reservation Manager; dependencies, API contract, role permissions and test data identified.</t>
        </is>
      </c>
      <c r="AC88" s="12" t="inlineStr">
        <is>
          <t>Code reviewed; unit, API, UI, RBAC and integration tests pass; accessibility and responsive states verified; audit evidence captured; product owner accepts in staging.</t>
        </is>
      </c>
      <c r="AD88" s="12" t="inlineStr">
        <is>
          <t>Security/exceptions: RBAC rooms.view deny-by-default on the calendar read; assert_property_in_org blocks cross-tenant reads; window over 92 days -&gt; 422, end&lt;=start -&gt; 422, unknown status -&gt; 422. Assignment goes through the existing flow.assign_room, so the GiST exclusion constraint is the arbiter, not this UI: verified that assigning CBR24202 to room 101 while CBR24201 held 4-6 Sep was rejected with 409 'Room ... is not available for the requested period'. The UI also filters taken rooms out of the picker, but that is a convenience - the database is what makes double-booking impossible.</t>
        </is>
      </c>
    </row>
    <row r="89" ht="78" customHeight="1" s="43">
      <c r="A89" s="11" t="n">
        <v>1</v>
      </c>
      <c r="B89" s="11" t="n">
        <v>85</v>
      </c>
      <c r="C89" s="12" t="inlineStr">
        <is>
          <t>US-004-01</t>
        </is>
      </c>
      <c r="D89" s="12" t="inlineStr">
        <is>
          <t>View and find information in New Reservation</t>
        </is>
      </c>
      <c r="E89" s="12" t="inlineStr">
        <is>
          <t>EPIC-03</t>
        </is>
      </c>
      <c r="F89" s="12" t="inlineStr">
        <is>
          <t>Reservations</t>
        </is>
      </c>
      <c r="G89" s="12" t="inlineStr">
        <is>
          <t>Booking Creation</t>
        </is>
      </c>
      <c r="H89" s="11" t="inlineStr">
        <is>
          <t>SCR-004</t>
        </is>
      </c>
      <c r="I89" s="12" t="inlineStr">
        <is>
          <t>New Reservation</t>
        </is>
      </c>
      <c r="J89" s="12" t="inlineStr">
        <is>
          <t>View / Search</t>
        </is>
      </c>
      <c r="K89" s="12" t="inlineStr">
        <is>
          <t>Reservation Manager</t>
        </is>
      </c>
      <c r="L89" s="12" t="inlineStr">
        <is>
          <t>As a Reservation Manager, I want to open New Reservation and find relevant records using search, filters and sorting, so that I can make accurate operational decisions.</t>
        </is>
      </c>
      <c r="M89" s="12" t="inlineStr">
        <is>
          <t>Provides timely visibility for booking creation and reduces manual lookup effort.</t>
        </is>
      </c>
      <c r="N89" s="12" t="inlineStr">
        <is>
          <t>Authenticated user; active property; view permission for Reservations; Rooms, Rates, Guests, Payments data available.</t>
        </is>
      </c>
      <c r="O89" s="12" t="inlineStr">
        <is>
          <t>Given I am authenticated as Reservation Manager with access to the selected property, when I open New Reservation,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89" s="12" t="inlineStr">
        <is>
          <t>Cross-property data never appears; unauthorized fields are masked; invalid filters do not break the screen; unavailable services return a controlled message.</t>
        </is>
      </c>
      <c r="Q89" s="12" t="inlineStr">
        <is>
          <t>Tenant/property scope; required fields; optimistic locking; timezone-safe dates; reason mandatory for overrides; availability and overlap check; status-transition rules; cancellation policy</t>
        </is>
      </c>
      <c r="R89" s="12" t="inlineStr">
        <is>
          <t>Rooms, Rates, Guests, Payments</t>
        </is>
      </c>
      <c r="S89" s="12" t="inlineStr">
        <is>
          <t>GET, POST, PUT/PATCH, DELETE /api/v1/new-reservation; lookup, validation and audit endpoints; idempotency for financial/booking writes; entities: reservations, reservation_guests, reservation_items, deposits</t>
        </is>
      </c>
      <c r="T89" s="12" t="inlineStr">
        <is>
          <t>Must Have</t>
        </is>
      </c>
      <c r="U89" s="12" t="inlineStr">
        <is>
          <t>MVP</t>
        </is>
      </c>
      <c r="V89" s="34" t="n">
        <v>3</v>
      </c>
      <c r="W89" s="12" t="inlineStr">
        <is>
          <t>S05-S07</t>
        </is>
      </c>
      <c r="X89" s="12" t="inlineStr">
        <is>
          <t>Done</t>
        </is>
      </c>
      <c r="Y89" s="13" t="n">
        <v>1</v>
      </c>
      <c r="Z89" s="12" t="n"/>
      <c r="AA89" s="12" t="inlineStr">
        <is>
          <t>TC-004-A</t>
        </is>
      </c>
      <c r="AB89" s="12" t="inlineStr">
        <is>
          <t>Approved screen design; story reviewed with Reservation Manager; dependencies, API contract, role permissions and test data identified.</t>
        </is>
      </c>
      <c r="AC89" s="12" t="inlineStr">
        <is>
          <t>Code reviewed; unit, API, UI, RBAC and integration tests pass; accessibility and responsive states verified; audit evidence captured; product owner accepts in staging.</t>
        </is>
      </c>
      <c r="AD89" s="12" t="inlineStr">
        <is>
          <t>Create flow live; reservation list/search view still pending. 2026-09-10: room-type picker now shows availability per type BEFORE selection (matching eZee Absolute's booking screen). New GET /availability/by-room-type returns every room type's sellable count for the whole stay in one call; /availability could only answer for one type, so the screen had to make the clerk choose, wait, and be told it was sold out. Sellable is the MINIMUM across the nights - a stay needs the same room every night, so 4 free on Mon and 0 on Tue sells nothing. A night with no inventory row is treated as 'not on sale' (nights_loaded/nights reported), never as availability: the calendar is seeded only to 2026-11-08 and counting missing nights as sellable would promise rooms nobody has loaded. Verified in Chrome across all three states: '4 left', 'sold out' (disabled), 'not on sale (0/3 nights loaded)' (disabled). 2026-09-10 CLOSED. The note 'reservation list/search view still pending' was stale — the list at /reservations/list has status tabs, arrival-date range, search over number and guest, and now Booking Date, Room Details with Assign Room, and Payment columns. Verified in Chrome.</t>
        </is>
      </c>
    </row>
    <row r="90" ht="78" customHeight="1" s="43">
      <c r="A90" s="11" t="n">
        <v>1</v>
      </c>
      <c r="B90" s="11" t="n">
        <v>86</v>
      </c>
      <c r="C90" s="12" t="inlineStr">
        <is>
          <t>US-004-02</t>
        </is>
      </c>
      <c r="D90" s="12" t="inlineStr">
        <is>
          <t>Complete the primary New Reservation workflow</t>
        </is>
      </c>
      <c r="E90" s="12" t="inlineStr">
        <is>
          <t>EPIC-03</t>
        </is>
      </c>
      <c r="F90" s="12" t="inlineStr">
        <is>
          <t>Reservations</t>
        </is>
      </c>
      <c r="G90" s="12" t="inlineStr">
        <is>
          <t>Booking Creation</t>
        </is>
      </c>
      <c r="H90" s="11" t="inlineStr">
        <is>
          <t>SCR-004</t>
        </is>
      </c>
      <c r="I90" s="12" t="inlineStr">
        <is>
          <t>New Reservation</t>
        </is>
      </c>
      <c r="J90" s="12" t="inlineStr">
        <is>
          <t>Primary Workflow</t>
        </is>
      </c>
      <c r="K90" s="12" t="inlineStr">
        <is>
          <t>Reservation Manager</t>
        </is>
      </c>
      <c r="L90" s="12" t="inlineStr">
        <is>
          <t>As a Reservation Manager, I want to list, search, filter, view, create, edit, cancel/delete under policy, export in New Reservation, so that the booking creation process is completed accurately without duplicate or inconsistent records.</t>
        </is>
      </c>
      <c r="M90" s="12" t="inlineStr">
        <is>
          <t>Enable reservations users to manage booking creation through the New Reservation workflow with real-time status, validations and traceability.</t>
        </is>
      </c>
      <c r="N90" s="12" t="inlineStr">
        <is>
          <t>View access confirmed; required masters and linked records exist; Rooms, Rates, Guests, Payments services are available; approval limit is valid.</t>
        </is>
      </c>
      <c r="O9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new reservation workflow; invalid or conflicting actions are blocked with clear messages; saved changes appear in related screens; sensitive changes are auditable.</t>
        </is>
      </c>
      <c r="P90" s="12" t="inlineStr">
        <is>
          <t>Duplicate submission is idempotent; stale data returns a refresh/conflict message; invalid status transitions are blocked; partial failure rolls back without orphan records.</t>
        </is>
      </c>
      <c r="Q90" s="12" t="inlineStr">
        <is>
          <t>Tenant/property scope; required fields; optimistic locking; timezone-safe dates; reason mandatory for overrides; availability and overlap check; status-transition rules; cancellation policy</t>
        </is>
      </c>
      <c r="R90" s="12" t="inlineStr">
        <is>
          <t>Rooms, Rates, Guests, Payments</t>
        </is>
      </c>
      <c r="S90" s="12" t="inlineStr">
        <is>
          <t>GET, POST, PUT/PATCH, DELETE /api/v1/new-reservation; lookup, validation and audit endpoints; idempotency for financial/booking writes; entities: reservations, reservation_guests, reservation_items, deposits</t>
        </is>
      </c>
      <c r="T90" s="12" t="inlineStr">
        <is>
          <t>Must Have</t>
        </is>
      </c>
      <c r="U90" s="12" t="inlineStr">
        <is>
          <t>MVP</t>
        </is>
      </c>
      <c r="V90" s="34" t="n">
        <v>8</v>
      </c>
      <c r="W90" s="12" t="inlineStr">
        <is>
          <t>S05-S07</t>
        </is>
      </c>
      <c r="X90" s="12" t="inlineStr">
        <is>
          <t>Done</t>
        </is>
      </c>
      <c r="Y90" s="13" t="n">
        <v>1</v>
      </c>
      <c r="Z90" s="12" t="n"/>
      <c r="AA90" s="12" t="inlineStr">
        <is>
          <t>TC-004-B</t>
        </is>
      </c>
      <c r="AB90" s="12" t="inlineStr">
        <is>
          <t>Approved screen design; story reviewed with Reservation Manager; dependencies, API contract, role permissions and test data identified.</t>
        </is>
      </c>
      <c r="AC90" s="12" t="inlineStr">
        <is>
          <t>Code reviewed; unit, API, UI, RBAC and integration tests pass; accessibility and responsive states verified; audit evidence captured; product owner accepts in staging.</t>
        </is>
      </c>
      <c r="AD90" s="12" t="inlineStr">
        <is>
          <t>New Reservation primary workflow: stay+availability -&gt; guest -&gt; confirm -&gt; advance payment (finance) -&gt; folio balance. Verified end-to-end via UI and gateway. 2026-09-10: blocked room types are disabled rather than hidden (hiding makes the list change shape between date ranges), Continue is disabled while the chosen type is unbookable, and changing dates auto-clears a selection that has become sold out - otherwise the clerk carries on to a hold that is bound to fail. SIDE EFFECT worth noting: the screen previously loaded its room types from GET /room-types, which requires rooms.view - a permission held ONLY by Administrator and Property IT Administrator. Front Desk got 403 and the picker was empty. The new endpoint is gated on reservations.view, which Front Desk does hold, so New Reservation now works for the role that actually takes bookings. Proven: anita.reddy (Front Desk) 403 on /room-types, 200 on /availability/by-room-type. The underlying rooms.view grant gap is still open - see US-004-03.</t>
        </is>
      </c>
    </row>
    <row r="91" ht="78" customHeight="1" s="43">
      <c r="A91" s="11" t="n">
        <v>1</v>
      </c>
      <c r="B91" s="11" t="n">
        <v>87</v>
      </c>
      <c r="C91" s="12" t="inlineStr">
        <is>
          <t>US-004-03</t>
        </is>
      </c>
      <c r="D91" s="12" t="inlineStr">
        <is>
          <t>Control permissions, overrides and audit for New Reservation</t>
        </is>
      </c>
      <c r="E91" s="12" t="inlineStr">
        <is>
          <t>EPIC-03</t>
        </is>
      </c>
      <c r="F91" s="12" t="inlineStr">
        <is>
          <t>Reservations</t>
        </is>
      </c>
      <c r="G91" s="12" t="inlineStr">
        <is>
          <t>Booking Creation</t>
        </is>
      </c>
      <c r="H91" s="11" t="inlineStr">
        <is>
          <t>SCR-004</t>
        </is>
      </c>
      <c r="I91" s="12" t="inlineStr">
        <is>
          <t>New Reservation</t>
        </is>
      </c>
      <c r="J91" s="12" t="inlineStr">
        <is>
          <t>Security / Exceptions</t>
        </is>
      </c>
      <c r="K91" s="12" t="inlineStr">
        <is>
          <t>Reservation Manager</t>
        </is>
      </c>
      <c r="L91" s="12" t="inlineStr">
        <is>
          <t>As a department supervisor or auditor, I want sensitive actions in New Reservation to follow permissions, approval limits and audit rules, so that resort operations remain secure, compliant and traceable.</t>
        </is>
      </c>
      <c r="M91" s="12" t="inlineStr">
        <is>
          <t>Reduces fraud, privacy leakage, unauthorized overrides and unresolved operational disputes.</t>
        </is>
      </c>
      <c r="N91" s="12" t="inlineStr">
        <is>
          <t>Roles, permissions, approval hierarchy and audit service are configured; allowed and denied test users exist.</t>
        </is>
      </c>
      <c r="O9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91" s="12" t="inlineStr">
        <is>
          <t>Tampered IDs, expired sessions, approval-limit violations and cross-tenant requests are rejected; secrets and sensitive guest/payment fields are never written to logs.</t>
        </is>
      </c>
      <c r="Q91" s="12" t="inlineStr">
        <is>
          <t>Tenant/property scope; required fields; optimistic locking; timezone-safe dates; reason mandatory for overrides; availability and overlap check; status-transition rules; cancellation policy</t>
        </is>
      </c>
      <c r="R91" s="12" t="inlineStr">
        <is>
          <t>Rooms, Rates, Guests, Payments</t>
        </is>
      </c>
      <c r="S91" s="12" t="inlineStr">
        <is>
          <t>GET, POST, PUT/PATCH, DELETE /api/v1/new-reservation; lookup, validation and audit endpoints; idempotency for financial/booking writes; entities: reservations, reservation_guests, reservation_items, deposits</t>
        </is>
      </c>
      <c r="T91" s="12" t="inlineStr">
        <is>
          <t>Must Have</t>
        </is>
      </c>
      <c r="U91" s="12" t="inlineStr">
        <is>
          <t>MVP</t>
        </is>
      </c>
      <c r="V91" s="34" t="n">
        <v>5</v>
      </c>
      <c r="W91" s="12" t="inlineStr">
        <is>
          <t>S05-S07</t>
        </is>
      </c>
      <c r="X91" s="12" t="inlineStr">
        <is>
          <t>Done</t>
        </is>
      </c>
      <c r="Y91" s="13" t="n">
        <v>1</v>
      </c>
      <c r="Z91" s="12" t="n"/>
      <c r="AA91" s="12" t="inlineStr">
        <is>
          <t>TC-004-C</t>
        </is>
      </c>
      <c r="AB91" s="12" t="inlineStr">
        <is>
          <t>Approved screen design; story reviewed with Reservation Manager; dependencies, API contract, role permissions and test data identified.</t>
        </is>
      </c>
      <c r="AC91" s="12" t="inlineStr">
        <is>
          <t>Code reviewed; unit, API, UI, RBAC and integration tests pass; accessibility and responsive states verified; audit evidence captured; product owner accepts in staging.</t>
        </is>
      </c>
      <c r="AD91" s="12" t="inlineStr">
        <is>
          <t>Security/exceptions pending: auth/RBAC/audit not yet implemented. 2026-09-10 PERMISSION FIX (iam 0013_rooms_view_grants): rooms.view was held by ONLY Administrator and Property IT Administrator while 37 read endpoints are guarded by it - the Room Rack, Reservation Calendar, room detail/history/assignable, rate calendar, rate plans, rate rules, meal plans, packages, promo codes, add-ons, amenities, buildings, floors and room blocks. Front Desk, Reservations, Housekeeping and Resort Manager were all locked out. Proven before the fix: anita.reddy (Front Desk + Reservations) got 403 rooms.view on GET /rooms while GET /reservations returned 200. Fifth migration of this kind after payments (0007), front_desk (0008), core (0009), housekeeping (0010): the code was right, the seed never granted it. GRANTED VIEW ONLY - rooms.edit spans 27 endpoints covering room status, room blocks AND the rate calendar, rate plans, packages and promo codes, so granting it to Housekeeping to mark a room clean would also hand them pricing; they do not need it because a housekeeping task drives operations.room_condition under housekeeping.edit. create/edit/configure/cancel/approve/export remain with the two administrator roles. Verified after: Front Desk and Housekeeping now 200 on Room Rack, Reservation Calendar, rate calendar, room detail and facets; both still 403 on POST /rooms; Housekeeping still correctly 403 on /reservations. STILL OPEN: the 'rates' resource has 7 permission rows, 0 grants and 0 code references - every rate screen is gated on 'rooms' instead, so the Rates role cannot be given rate access at all. Same for pos, reports, administration, ai_center, distribution. Splitting those needs its own migration. 2026-09-10 CLOSED. Security work done and recorded across the day: every booking-core endpoint carries a permission guard (139 of 139; only /health is open, correctly); iam 0013_rooms_view_grants fixed rooms.view being held by only 2 roles while 37 endpoints needed it; room assignment now writes reservation_unit.room_assigned, closing a gap where assigning a guest to a room left NO audit trace at all; booking source is a closed set enforced by both a check constraint and a pydantic Literal, so a bad value is a 422 naming the allowed values rather than a 500.</t>
        </is>
      </c>
    </row>
    <row r="92" ht="78" customHeight="1" s="43">
      <c r="A92" s="11" t="n">
        <v>1</v>
      </c>
      <c r="B92" s="11" t="n">
        <v>88</v>
      </c>
      <c r="C92" s="12" t="inlineStr">
        <is>
          <t>US-005-01</t>
        </is>
      </c>
      <c r="D92" s="12" t="inlineStr">
        <is>
          <t>View and find information in Guest Check-In</t>
        </is>
      </c>
      <c r="E92" s="12" t="inlineStr">
        <is>
          <t>EPIC-02</t>
        </is>
      </c>
      <c r="F92" s="12" t="inlineStr">
        <is>
          <t>Front Desk</t>
        </is>
      </c>
      <c r="G92" s="12" t="inlineStr">
        <is>
          <t>Arrival</t>
        </is>
      </c>
      <c r="H92" s="11" t="inlineStr">
        <is>
          <t>SCR-005</t>
        </is>
      </c>
      <c r="I92" s="12" t="inlineStr">
        <is>
          <t>Guest Check-In</t>
        </is>
      </c>
      <c r="J92" s="12" t="inlineStr">
        <is>
          <t>View / Search</t>
        </is>
      </c>
      <c r="K92" s="12" t="inlineStr">
        <is>
          <t>Front Office Manager</t>
        </is>
      </c>
      <c r="L92" s="12" t="inlineStr">
        <is>
          <t>As a Front Office Manager, I want to open Guest Check-In and find relevant records using search, filters and sorting, so that I can make accurate operational decisions.</t>
        </is>
      </c>
      <c r="M92" s="12" t="inlineStr">
        <is>
          <t>Provides timely visibility for arrival and reduces manual lookup effort.</t>
        </is>
      </c>
      <c r="N92" s="12" t="inlineStr">
        <is>
          <t>Authenticated user; active property; view permission for Front Desk; Reservations, Rooms, Finance data available.</t>
        </is>
      </c>
      <c r="O92" s="12" t="inlineStr">
        <is>
          <t>Given I am authenticated as Front Office Manager with access to the selected property, when I open Guest Check-In,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92" s="12" t="inlineStr">
        <is>
          <t>Cross-property data never appears; unauthorized fields are masked; invalid filters do not break the screen; unavailable services return a controlled message.</t>
        </is>
      </c>
      <c r="Q92" s="12" t="inlineStr">
        <is>
          <t>Tenant/property scope; required fields; optimistic locking; timezone-safe dates; reason mandatory for overrides; availability and overlap check; status-transition rules; cancellation policy</t>
        </is>
      </c>
      <c r="R92" s="12" t="inlineStr">
        <is>
          <t>Reservations, Rooms, Finance</t>
        </is>
      </c>
      <c r="S92" s="12" t="inlineStr">
        <is>
          <t>GET, POST, PUT/PATCH, DELETE /api/v1/guest-check-in; lookup, validation and audit endpoints; idempotency for financial/booking writes; entities: stays, room_assignments, folios, keys</t>
        </is>
      </c>
      <c r="T92" s="12" t="inlineStr">
        <is>
          <t>Must Have</t>
        </is>
      </c>
      <c r="U92" s="12" t="inlineStr">
        <is>
          <t>MVP</t>
        </is>
      </c>
      <c r="V92" s="34" t="n">
        <v>3</v>
      </c>
      <c r="W92" s="12" t="inlineStr">
        <is>
          <t>S05-S07</t>
        </is>
      </c>
      <c r="X92" s="12" t="inlineStr">
        <is>
          <t>Done</t>
        </is>
      </c>
      <c r="Y92" s="13" t="n">
        <v>1</v>
      </c>
      <c r="Z92" s="12" t="n"/>
      <c r="AA92" s="12" t="inlineStr">
        <is>
          <t>TC-005-A</t>
        </is>
      </c>
      <c r="AB92" s="12" t="inlineStr">
        <is>
          <t>Approved screen design; story reviewed with Front Office Manager; dependencies, API contract, role permissions and test data identified.</t>
        </is>
      </c>
      <c r="AC92" s="12" t="inlineStr">
        <is>
          <t>Code reviewed; unit, API, UI, RBAC and integration tests pass; accessibility and responsive states verified; audit evidence captured; product owner accepts in staging.</t>
        </is>
      </c>
      <c r="AD92" s="12" t="inlineStr">
        <is>
          <t>Guest Check-In (mockup 005). /front-desk is now the Arrivals list (was a placeholder): GET /booking/arrivals for a date, including anyone still unchecked from earlier days, with search, a show-checked-in toggle and a Check in action per row. The check-in screen itself is the mockup's three panels - Guest Verification / Stay &amp; Room / Payment &amp; Deposit - fed by one call, GET /reservation-units/{id}/check-in-view, which returns the guest, the ID on file, the ID scans, the rooms actually free for the whole stay, and the folio position. Total Stay Amount uses the folio once it has debits and the quoted nights x room-type rate before that, so it is never a made-up number. Verified in Chrome: CBR24107, 16 arrivals on 7 Sep, 3 free rooms offered.</t>
        </is>
      </c>
    </row>
    <row r="93" ht="78" customHeight="1" s="43">
      <c r="A93" s="11" t="n">
        <v>1</v>
      </c>
      <c r="B93" s="11" t="n">
        <v>89</v>
      </c>
      <c r="C93" s="12" t="inlineStr">
        <is>
          <t>US-005-02</t>
        </is>
      </c>
      <c r="D93" s="12" t="inlineStr">
        <is>
          <t>Complete the primary Guest Check-In workflow</t>
        </is>
      </c>
      <c r="E93" s="12" t="inlineStr">
        <is>
          <t>EPIC-02</t>
        </is>
      </c>
      <c r="F93" s="12" t="inlineStr">
        <is>
          <t>Front Desk</t>
        </is>
      </c>
      <c r="G93" s="12" t="inlineStr">
        <is>
          <t>Arrival</t>
        </is>
      </c>
      <c r="H93" s="11" t="inlineStr">
        <is>
          <t>SCR-005</t>
        </is>
      </c>
      <c r="I93" s="12" t="inlineStr">
        <is>
          <t>Guest Check-In</t>
        </is>
      </c>
      <c r="J93" s="12" t="inlineStr">
        <is>
          <t>Primary Workflow</t>
        </is>
      </c>
      <c r="K93" s="12" t="inlineStr">
        <is>
          <t>Front Office Manager</t>
        </is>
      </c>
      <c r="L93" s="12" t="inlineStr">
        <is>
          <t>As a Front Office Manager, I want to list, search, filter, view, create, edit, cancel/delete under policy, export in Guest Check-In, so that the arrival process is completed accurately without duplicate or inconsistent records.</t>
        </is>
      </c>
      <c r="M93" s="12" t="inlineStr">
        <is>
          <t>Enable front desk users to manage arrival through the Guest Check-In workflow with real-time status, validations and traceability.</t>
        </is>
      </c>
      <c r="N93" s="12" t="inlineStr">
        <is>
          <t>View access confirmed; required masters and linked records exist; Reservations, Rooms, Finance services are available; approval limit is valid.</t>
        </is>
      </c>
      <c r="O9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check-in workflow; invalid or conflicting actions are blocked with clear messages; saved changes appear in related screens; sensitive changes are auditable.</t>
        </is>
      </c>
      <c r="P93" s="12" t="inlineStr">
        <is>
          <t>Duplicate submission is idempotent; stale data returns a refresh/conflict message; invalid status transitions are blocked; partial failure rolls back without orphan records.</t>
        </is>
      </c>
      <c r="Q93" s="12" t="inlineStr">
        <is>
          <t>Tenant/property scope; required fields; optimistic locking; timezone-safe dates; reason mandatory for overrides; availability and overlap check; status-transition rules; cancellation policy</t>
        </is>
      </c>
      <c r="R93" s="12" t="inlineStr">
        <is>
          <t>Reservations, Rooms, Finance</t>
        </is>
      </c>
      <c r="S93" s="12" t="inlineStr">
        <is>
          <t>GET, POST, PUT/PATCH, DELETE /api/v1/guest-check-in; lookup, validation and audit endpoints; idempotency for financial/booking writes; entities: stays, room_assignments, folios, keys</t>
        </is>
      </c>
      <c r="T93" s="12" t="inlineStr">
        <is>
          <t>Must Have</t>
        </is>
      </c>
      <c r="U93" s="12" t="inlineStr">
        <is>
          <t>MVP</t>
        </is>
      </c>
      <c r="V93" s="34" t="n">
        <v>8</v>
      </c>
      <c r="W93" s="12" t="inlineStr">
        <is>
          <t>S05-S07</t>
        </is>
      </c>
      <c r="X93" s="12" t="inlineStr">
        <is>
          <t>Done</t>
        </is>
      </c>
      <c r="Y93" s="13" t="n">
        <v>1</v>
      </c>
      <c r="Z93" s="12" t="n"/>
      <c r="AA93" s="12" t="inlineStr">
        <is>
          <t>TC-005-B</t>
        </is>
      </c>
      <c r="AB93" s="12" t="inlineStr">
        <is>
          <t>Approved screen design; story reviewed with Front Office Manager; dependencies, API contract, role permissions and test data identified.</t>
        </is>
      </c>
      <c r="AC93" s="12" t="inlineStr">
        <is>
          <t>Code reviewed; unit, API, UI, RBAC and integration tests pass; accessibility and responsive states verified; audit evidence captured; product owner accepts in staging.</t>
        </is>
      </c>
      <c r="AD93" s="12" t="inlineStr">
        <is>
          <t>Primary workflow: POST /reservation-units/{id}/complete-check-in does identity, room, deposit and stay in ONE transaction, in that order - identity first, room through flow.assign_room, money only after the room is secured, flow.check_in last - so a half-finished check-in cannot exist. Creates the guest record when the booking had none and links it to the reservation. Records the act in a new booking.stay_checkins row (deposit, verification flags, who did it). Migration 0015 adds guest identity (address, ID type/number, verified-by) and engagement.guest_documents for ID scans, stored in MinIO with only the key in the database and reads served as expiring presigned URLs; replacing a scan deletes the old object as well as the row. Also added the (property_id, id) unique on reservation_units that the rest of the schema uses for tenant-safe FKs and that this table needed. Verified end to end: Sowmya Reddy into room 101, guest created with Aadhaar recorded, unit checked_in, stay in_house, checkin row with all flags.</t>
        </is>
      </c>
    </row>
    <row r="94" ht="78" customHeight="1" s="43">
      <c r="A94" s="11" t="n">
        <v>1</v>
      </c>
      <c r="B94" s="11" t="n">
        <v>90</v>
      </c>
      <c r="C94" s="12" t="inlineStr">
        <is>
          <t>US-005-03</t>
        </is>
      </c>
      <c r="D94" s="12" t="inlineStr">
        <is>
          <t>Control permissions, overrides and audit for Guest Check-In</t>
        </is>
      </c>
      <c r="E94" s="12" t="inlineStr">
        <is>
          <t>EPIC-02</t>
        </is>
      </c>
      <c r="F94" s="12" t="inlineStr">
        <is>
          <t>Front Desk</t>
        </is>
      </c>
      <c r="G94" s="12" t="inlineStr">
        <is>
          <t>Arrival</t>
        </is>
      </c>
      <c r="H94" s="11" t="inlineStr">
        <is>
          <t>SCR-005</t>
        </is>
      </c>
      <c r="I94" s="12" t="inlineStr">
        <is>
          <t>Guest Check-In</t>
        </is>
      </c>
      <c r="J94" s="12" t="inlineStr">
        <is>
          <t>Security / Exceptions</t>
        </is>
      </c>
      <c r="K94" s="12" t="inlineStr">
        <is>
          <t>Front Office Manager</t>
        </is>
      </c>
      <c r="L94" s="12" t="inlineStr">
        <is>
          <t>As a department supervisor or auditor, I want sensitive actions in Guest Check-In to follow permissions, approval limits and audit rules, so that resort operations remain secure, compliant and traceable.</t>
        </is>
      </c>
      <c r="M94" s="12" t="inlineStr">
        <is>
          <t>Reduces fraud, privacy leakage, unauthorized overrides and unresolved operational disputes.</t>
        </is>
      </c>
      <c r="N94" s="12" t="inlineStr">
        <is>
          <t>Roles, permissions, approval hierarchy and audit service are configured; allowed and denied test users exist.</t>
        </is>
      </c>
      <c r="O9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94" s="12" t="inlineStr">
        <is>
          <t>Tampered IDs, expired sessions, approval-limit violations and cross-tenant requests are rejected; secrets and sensitive guest/payment fields are never written to logs.</t>
        </is>
      </c>
      <c r="Q94" s="12" t="inlineStr">
        <is>
          <t>Tenant/property scope; required fields; optimistic locking; timezone-safe dates; reason mandatory for overrides; availability and overlap check; status-transition rules; cancellation policy</t>
        </is>
      </c>
      <c r="R94" s="12" t="inlineStr">
        <is>
          <t>Reservations, Rooms, Finance</t>
        </is>
      </c>
      <c r="S94" s="12" t="inlineStr">
        <is>
          <t>GET, POST, PUT/PATCH, DELETE /api/v1/guest-check-in; lookup, validation and audit endpoints; idempotency for financial/booking writes; entities: stays, room_assignments, folios, keys</t>
        </is>
      </c>
      <c r="T94" s="12" t="inlineStr">
        <is>
          <t>Must Have</t>
        </is>
      </c>
      <c r="U94" s="12" t="inlineStr">
        <is>
          <t>MVP</t>
        </is>
      </c>
      <c r="V94" s="34" t="n">
        <v>5</v>
      </c>
      <c r="W94" s="12" t="inlineStr">
        <is>
          <t>S05-S07</t>
        </is>
      </c>
      <c r="X94" s="12" t="inlineStr">
        <is>
          <t>Done</t>
        </is>
      </c>
      <c r="Y94" s="13" t="n">
        <v>1</v>
      </c>
      <c r="Z94" s="12" t="n"/>
      <c r="AA94" s="12" t="inlineStr">
        <is>
          <t>TC-005-C</t>
        </is>
      </c>
      <c r="AB94" s="12" t="inlineStr">
        <is>
          <t>Approved screen design; story reviewed with Front Office Manager; dependencies, API contract, role permissions and test data identified.</t>
        </is>
      </c>
      <c r="AC94" s="12" t="inlineStr">
        <is>
          <t>Code reviewed; unit, API, UI, RBAC and integration tests pass; accessibility and responsive states verified; audit evidence captured; product owner accepts in staging.</t>
        </is>
      </c>
      <c r="AD94" s="12" t="inlineStr">
        <is>
          <t>Security/exceptions: RBAC front_desk.view / front_desk.edit, deny-by-default. NOTE: front_desk permissions were granted only to Administrator (view/create) - the role literally called Front Desk could not have checked anyone in; iam 0008_front_desk_grants fixes that for Front Desk, Reservations, Housekeeping, Resort Manager, Administrator and Property IT Administrator. Verified: checking in twice -&gt; 409 'already checked in'; the same room for an overlapping stay -&gt; 409 'That room was taken while this screen was open' (the GiST exclusion constraint, not a UI check); a deposit with no folio -&gt; 422 rather than taking money with nowhere to post it; a cancelled/completed reservation -&gt; 422. ID uploads are limited to JPEG/PNG/WebP/PDF under 8MB. Append-only audit for reservation_unit.check_in and guest.document.upload/delete. GAPS STATED ON THE SCREEN: 'Room key issued' and 'Welcome message sent' are recorded, not performed - there is no door-lock integration and no mail/SMS transport - and completing a check-in with either ticked returns a warning saying so.</t>
        </is>
      </c>
    </row>
    <row r="95" ht="78" customHeight="1" s="43">
      <c r="A95" s="11" t="n">
        <v>1</v>
      </c>
      <c r="B95" s="11" t="n">
        <v>91</v>
      </c>
      <c r="C95" s="12" t="inlineStr">
        <is>
          <t>US-007-01</t>
        </is>
      </c>
      <c r="D95" s="12" t="inlineStr">
        <is>
          <t>View and find information in Guest Checkout Folio</t>
        </is>
      </c>
      <c r="E95" s="12" t="inlineStr">
        <is>
          <t>EPIC-02</t>
        </is>
      </c>
      <c r="F95" s="12" t="inlineStr">
        <is>
          <t>Front Desk</t>
        </is>
      </c>
      <c r="G95" s="12" t="inlineStr">
        <is>
          <t>Departure &amp; Billing</t>
        </is>
      </c>
      <c r="H95" s="11" t="inlineStr">
        <is>
          <t>SCR-007</t>
        </is>
      </c>
      <c r="I95" s="12" t="inlineStr">
        <is>
          <t>Guest Checkout Folio</t>
        </is>
      </c>
      <c r="J95" s="12" t="inlineStr">
        <is>
          <t>View / Search</t>
        </is>
      </c>
      <c r="K95" s="12" t="inlineStr">
        <is>
          <t>Front Office Manager</t>
        </is>
      </c>
      <c r="L95" s="12" t="inlineStr">
        <is>
          <t>As a Front Office Manager, I want to open Guest Checkout Folio and find relevant records using search, filters and sorting, so that I can make accurate operational decisions.</t>
        </is>
      </c>
      <c r="M95" s="12" t="inlineStr">
        <is>
          <t>Provides timely visibility for departure &amp; billing and reduces manual lookup effort.</t>
        </is>
      </c>
      <c r="N95" s="12" t="inlineStr">
        <is>
          <t>Authenticated user; active property; view permission for Front Desk; Reservations, Rooms, Finance data available.</t>
        </is>
      </c>
      <c r="O95" s="12" t="inlineStr">
        <is>
          <t>Given I am authenticated as Front Office Manager with access to the selected property, when I open Guest Checkout Folio,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95" s="12" t="inlineStr">
        <is>
          <t>Cross-property data never appears; unauthorized fields are masked; invalid filters do not break the screen; unavailable services return a controlled message.</t>
        </is>
      </c>
      <c r="Q95" s="12" t="inlineStr">
        <is>
          <t>Tenant/property scope; required fields; optimistic locking; timezone-safe dates; reason mandatory for overrides; availability and overlap check; status-transition rules; cancellation policy</t>
        </is>
      </c>
      <c r="R95" s="12" t="inlineStr">
        <is>
          <t>Reservations, Rooms, Finance</t>
        </is>
      </c>
      <c r="S95" s="12" t="inlineStr">
        <is>
          <t>GET, POST, PUT/PATCH, DELETE /api/v1/guest-checkout-folio; lookup, validation and audit endpoints; idempotency for financial/booking writes; entities: stays, room_assignments, folios, keys</t>
        </is>
      </c>
      <c r="T95" s="12" t="inlineStr">
        <is>
          <t>Must Have</t>
        </is>
      </c>
      <c r="U95" s="12" t="inlineStr">
        <is>
          <t>MVP</t>
        </is>
      </c>
      <c r="V95" s="34" t="n">
        <v>3</v>
      </c>
      <c r="W95" s="12" t="inlineStr">
        <is>
          <t>S05-S07</t>
        </is>
      </c>
      <c r="X95" s="12" t="inlineStr">
        <is>
          <t>Done</t>
        </is>
      </c>
      <c r="Y95" s="13" t="n">
        <v>1</v>
      </c>
      <c r="Z95" s="12" t="n"/>
      <c r="AA95" s="12" t="inlineStr">
        <is>
          <t>TC-007-A</t>
        </is>
      </c>
      <c r="AB95" s="12" t="inlineStr">
        <is>
          <t>Approved screen design; story reviewed with Front Office Manager; dependencies, API contract, role permissions and test data identified.</t>
        </is>
      </c>
      <c r="AC95" s="12" t="inlineStr">
        <is>
          <t>Code reviewed; unit, API, UI, RBAC and integration tests pass; accessibility and responsive states verified; audit evidence captured; product owner accepts in staging.</t>
        </is>
      </c>
      <c r="AD95" s="12" t="inlineStr">
        <is>
          <t>Checkout &amp; Guest Folio (mockup 007) REBUILT as the real screen at /front-desk/check-out/{unitId}. Previously /reservations/{id}/folio showed a folio and could take a payment but had NO way to check anyone out - the engine (flow.check_out) had existed since the first migration and nothing ever called it, so a guest could be checked in and could pay and could never leave. Now: a Departures list beside Arrivals on the Front Desk (GET /booking/departures) showing room, guest, balance and a status badge - Due Out Today, Overdue by N days, Checked out - where an overstay stays on the list whatever date is asked for; and GET /reservation-units/{id}/check-out-view returning the guest, room, folio lines with Department and Qty, and the full summary (subtotal / taxes / grand total / advance paid / balance due / deposit held). Breadcrumb reads Front Desk / Departures / Room 101 as the mockup does. Verified in Chrome on CBR24107 room 101.
[14 Sep 2026 defect sweep] DEFECT FOUND AND FIXED. The folio summary split entries by entry_type alone: every debit a charge, every credit a payment. A refund is a debit, so handing money back RAISED the bill. FOL-1008 had 9,000 collected and all 9,000 returned and read Subtotal 9,000, Grand Total 9,000, Advance Paid 9,000 -- a fully refunded account presented as a fully paid one. The balance was right throughout, which is why it survived review: 9,000 - 9,000 is zero whether or not either number means anything. Charges now exclude refund and deposit_refund; advance is credits less those refunds. Verified: FOL-1008 and FOL-1024 to 0/0/0, FOL-1009 to 4,000/4,000/0, FOL-1001 unchanged at 16,000/16,000/0.</t>
        </is>
      </c>
    </row>
    <row r="96" ht="78" customHeight="1" s="43">
      <c r="A96" s="11" t="n">
        <v>1</v>
      </c>
      <c r="B96" s="11" t="n">
        <v>92</v>
      </c>
      <c r="C96" s="12" t="inlineStr">
        <is>
          <t>US-007-02</t>
        </is>
      </c>
      <c r="D96" s="12" t="inlineStr">
        <is>
          <t>Complete the primary Guest Checkout Folio workflow</t>
        </is>
      </c>
      <c r="E96" s="12" t="inlineStr">
        <is>
          <t>EPIC-02</t>
        </is>
      </c>
      <c r="F96" s="12" t="inlineStr">
        <is>
          <t>Front Desk</t>
        </is>
      </c>
      <c r="G96" s="12" t="inlineStr">
        <is>
          <t>Departure &amp; Billing</t>
        </is>
      </c>
      <c r="H96" s="11" t="inlineStr">
        <is>
          <t>SCR-007</t>
        </is>
      </c>
      <c r="I96" s="12" t="inlineStr">
        <is>
          <t>Guest Checkout Folio</t>
        </is>
      </c>
      <c r="J96" s="12" t="inlineStr">
        <is>
          <t>Primary Workflow</t>
        </is>
      </c>
      <c r="K96" s="12" t="inlineStr">
        <is>
          <t>Front Office Manager</t>
        </is>
      </c>
      <c r="L96" s="12" t="inlineStr">
        <is>
          <t>As a Front Office Manager, I want to list, search, filter, view, create, edit, cancel/delete under policy, export in Guest Checkout Folio, so that the departure &amp; billing process is completed accurately without duplicate or inconsistent records.</t>
        </is>
      </c>
      <c r="M96" s="12" t="inlineStr">
        <is>
          <t>Enable front desk users to manage departure &amp; billing through the Guest Checkout Folio workflow with real-time status, validations and traceability.</t>
        </is>
      </c>
      <c r="N96" s="12" t="inlineStr">
        <is>
          <t>View access confirmed; required masters and linked records exist; Reservations, Rooms, Finance services are available; approval limit is valid.</t>
        </is>
      </c>
      <c r="O9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checkout folio workflow; invalid or conflicting actions are blocked with clear messages; saved changes appear in related screens; sensitive changes are auditable.</t>
        </is>
      </c>
      <c r="P96" s="12" t="inlineStr">
        <is>
          <t>Duplicate submission is idempotent; stale data returns a refresh/conflict message; invalid status transitions are blocked; partial failure rolls back without orphan records.</t>
        </is>
      </c>
      <c r="Q96" s="12" t="inlineStr">
        <is>
          <t>Tenant/property scope; required fields; optimistic locking; timezone-safe dates; reason mandatory for overrides; availability and overlap check; status-transition rules; cancellation policy</t>
        </is>
      </c>
      <c r="R96" s="12" t="inlineStr">
        <is>
          <t>Reservations, Rooms, Finance</t>
        </is>
      </c>
      <c r="S96" s="12" t="inlineStr">
        <is>
          <t>GET, POST, PUT/PATCH, DELETE /api/v1/guest-checkout-folio; lookup, validation and audit endpoints; idempotency for financial/booking writes; entities: stays, room_assignments, folios, keys</t>
        </is>
      </c>
      <c r="T96" s="12" t="inlineStr">
        <is>
          <t>Must Have</t>
        </is>
      </c>
      <c r="U96" s="12" t="inlineStr">
        <is>
          <t>MVP</t>
        </is>
      </c>
      <c r="V96" s="34" t="n">
        <v>8</v>
      </c>
      <c r="W96" s="12" t="inlineStr">
        <is>
          <t>S05-S07</t>
        </is>
      </c>
      <c r="X96" s="12" t="inlineStr">
        <is>
          <t>Done</t>
        </is>
      </c>
      <c r="Y96" s="13" t="n">
        <v>1</v>
      </c>
      <c r="Z96" s="12" t="n"/>
      <c r="AA96" s="12" t="inlineStr">
        <is>
          <t>TC-007-B</t>
        </is>
      </c>
      <c r="AB96" s="12" t="inlineStr">
        <is>
          <t>Approved screen design; story reviewed with Front Office Manager; dependencies, API contract, role permissions and test data identified.</t>
        </is>
      </c>
      <c r="AC96" s="12" t="inlineStr">
        <is>
          <t>Code reviewed; unit, API, UI, RBAC and integration tests pass; accessibility and responsive states verified; audit evidence captured; product owner accepts in staging.</t>
        </is>
      </c>
      <c r="AD96" s="12" t="inlineStr">
        <is>
          <t>Primary workflow: POST /reservation-units/{id}/complete-check-out settles, closes the stay, frees the room and records the handover in ONE transaction, so a guest is never half-departed and a payment is never taken for a checkout that then fails. Takes the final payment (UPI/Card/Cash/Link) as a folio credit, optionally refunds the security deposit taken at check-in as a debit, then calls flow.check_out which closes the stay, releases future nights and sets the room_calendar_entry to released. Footer carries the mockup's three completion checkboxes (room key returned / housekeeping notified / feedback link scheduled) and a live 'Balance after this' figure. Migration 0016 adds booking.stay_checkouts recording settled_amount and balance_at_checkout AT THE MOMENT OF DEPARTURE - a folio keeps moving afterwards, so what a guest owed when they walked out is only answerable if written down then. Verified in Chrome: Sowmya Reddy room 101 -&gt; unit checked_out, stay checked_out with actual_checkout_at set, room_calendar_entry released, checkout row with key_returned and housekeeping_notified true. The older /reservations/{id}/folio Add Charge + Collect Payment view remains for reservation-level folio work.</t>
        </is>
      </c>
    </row>
    <row r="97" ht="78" customHeight="1" s="43">
      <c r="A97" s="11" t="n">
        <v>1</v>
      </c>
      <c r="B97" s="11" t="n">
        <v>93</v>
      </c>
      <c r="C97" s="12" t="inlineStr">
        <is>
          <t>US-007-03</t>
        </is>
      </c>
      <c r="D97" s="12" t="inlineStr">
        <is>
          <t>Control permissions, overrides and audit for Guest Checkout Folio</t>
        </is>
      </c>
      <c r="E97" s="12" t="inlineStr">
        <is>
          <t>EPIC-02</t>
        </is>
      </c>
      <c r="F97" s="12" t="inlineStr">
        <is>
          <t>Front Desk</t>
        </is>
      </c>
      <c r="G97" s="12" t="inlineStr">
        <is>
          <t>Departure &amp; Billing</t>
        </is>
      </c>
      <c r="H97" s="11" t="inlineStr">
        <is>
          <t>SCR-007</t>
        </is>
      </c>
      <c r="I97" s="12" t="inlineStr">
        <is>
          <t>Guest Checkout Folio</t>
        </is>
      </c>
      <c r="J97" s="12" t="inlineStr">
        <is>
          <t>Security / Exceptions</t>
        </is>
      </c>
      <c r="K97" s="12" t="inlineStr">
        <is>
          <t>Front Office Manager</t>
        </is>
      </c>
      <c r="L97" s="12" t="inlineStr">
        <is>
          <t>As a department supervisor or auditor, I want sensitive actions in Guest Checkout Folio to follow permissions, approval limits and audit rules, so that resort operations remain secure, compliant and traceable.</t>
        </is>
      </c>
      <c r="M97" s="12" t="inlineStr">
        <is>
          <t>Reduces fraud, privacy leakage, unauthorized overrides and unresolved operational disputes.</t>
        </is>
      </c>
      <c r="N97" s="12" t="inlineStr">
        <is>
          <t>Roles, permissions, approval hierarchy and audit service are configured; allowed and denied test users exist.</t>
        </is>
      </c>
      <c r="O9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97" s="12" t="inlineStr">
        <is>
          <t>Tampered IDs, expired sessions, approval-limit violations and cross-tenant requests are rejected; secrets and sensitive guest/payment fields are never written to logs.</t>
        </is>
      </c>
      <c r="Q97" s="12" t="inlineStr">
        <is>
          <t>Tenant/property scope; required fields; optimistic locking; timezone-safe dates; reason mandatory for overrides; availability and overlap check; status-transition rules; cancellation policy</t>
        </is>
      </c>
      <c r="R97" s="12" t="inlineStr">
        <is>
          <t>Reservations, Rooms, Finance</t>
        </is>
      </c>
      <c r="S97" s="12" t="inlineStr">
        <is>
          <t>GET, POST, PUT/PATCH, DELETE /api/v1/guest-checkout-folio; lookup, validation and audit endpoints; idempotency for financial/booking writes; entities: stays, room_assignments, folios, keys</t>
        </is>
      </c>
      <c r="T97" s="12" t="inlineStr">
        <is>
          <t>Must Have</t>
        </is>
      </c>
      <c r="U97" s="12" t="inlineStr">
        <is>
          <t>MVP</t>
        </is>
      </c>
      <c r="V97" s="34" t="n">
        <v>5</v>
      </c>
      <c r="W97" s="12" t="inlineStr">
        <is>
          <t>S05-S07</t>
        </is>
      </c>
      <c r="X97" s="12" t="inlineStr">
        <is>
          <t>Done</t>
        </is>
      </c>
      <c r="Y97" s="13" t="n">
        <v>1</v>
      </c>
      <c r="Z97" s="12" t="n"/>
      <c r="AA97" s="12" t="inlineStr">
        <is>
          <t>TC-007-C</t>
        </is>
      </c>
      <c r="AB97" s="12" t="inlineStr">
        <is>
          <t>Approved screen design; story reviewed with Front Office Manager; dependencies, API contract, role permissions and test data identified.</t>
        </is>
      </c>
      <c r="AC97" s="12" t="inlineStr">
        <is>
          <t>Code reviewed; unit, API, UI, RBAC and integration tests pass; accessibility and responsive states verified; audit evidence captured; product owner accepts in staging.</t>
        </is>
      </c>
      <c r="AD97" s="12" t="inlineStr">
        <is>
          <t>Security/exceptions: RBAC front_desk.view / front_desk.edit, deny-by-default (granted by iam 0008). Verified: checking out twice -&gt; 409 'already checked out'; a unit that is not checked in -&gt; 422 'Only a guest who is in house can leave'; a payment with no folio -&gt; 422 rather than taking money with nowhere to post it. A REMAINING BALANCE DOES NOT BLOCK DEPARTURE but must be confirmed: without allow_outstanding_balance the request is refused with the amount named, and when confirmed the figure is written into stay_checkouts.balance_at_checkout and returned as a warning. Guests do leave owing money - a company is invoiced, a charge is disputed - and refusing checkout would not stop that, only stop it being recorded. Append-only audit reservation_unit.check_out. GAPS STATED ON THE SCREEN: 'Feedback link scheduled' is recorded, not sent (no mail/SMS transport). NOT BUILT, and deliberately not faked: Transfer Charge, Split Bill, Apply Discount and Process Refund from the mockup each need backend that does not exist yet.</t>
        </is>
      </c>
    </row>
    <row r="98" ht="78" customHeight="1" s="43">
      <c r="A98" s="11" t="n">
        <v>1</v>
      </c>
      <c r="B98" s="11" t="n">
        <v>94</v>
      </c>
      <c r="C98" s="12" t="inlineStr">
        <is>
          <t>US-028-01</t>
        </is>
      </c>
      <c r="D98" s="12" t="inlineStr">
        <is>
          <t>View and find information in Reservation Details</t>
        </is>
      </c>
      <c r="E98" s="12" t="inlineStr">
        <is>
          <t>EPIC-03</t>
        </is>
      </c>
      <c r="F98" s="12" t="inlineStr">
        <is>
          <t>Reservations</t>
        </is>
      </c>
      <c r="G98" s="12" t="inlineStr">
        <is>
          <t>Booking Details</t>
        </is>
      </c>
      <c r="H98" s="11" t="inlineStr">
        <is>
          <t>SCR-028</t>
        </is>
      </c>
      <c r="I98" s="12" t="inlineStr">
        <is>
          <t>Reservation Details</t>
        </is>
      </c>
      <c r="J98" s="12" t="inlineStr">
        <is>
          <t>View / Search</t>
        </is>
      </c>
      <c r="K98" s="12" t="inlineStr">
        <is>
          <t>Reservation Manager</t>
        </is>
      </c>
      <c r="L98" s="12" t="inlineStr">
        <is>
          <t>As a Reservation Manager, I want to open Reservation Details and find relevant records using search, filters and sorting, so that I can make accurate operational decisions.</t>
        </is>
      </c>
      <c r="M98" s="12" t="inlineStr">
        <is>
          <t>Provides timely visibility for booking details and reduces manual lookup effort.</t>
        </is>
      </c>
      <c r="N98" s="12" t="inlineStr">
        <is>
          <t>Authenticated user; active property; view permission for Reservations; Rooms, Rates, Guests, Payments data available.</t>
        </is>
      </c>
      <c r="O98" s="12" t="inlineStr">
        <is>
          <t>Given I am authenticated as Reservation Manager with access to the selected property, when I open Reservation Details,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98" s="12" t="inlineStr">
        <is>
          <t>Cross-property data never appears; unauthorized fields are masked; invalid filters do not break the screen; unavailable services return a controlled message.</t>
        </is>
      </c>
      <c r="Q98" s="12" t="inlineStr">
        <is>
          <t>Tenant/property scope; required fields; optimistic locking; timezone-safe dates; reason mandatory for overrides; availability and overlap check; status-transition rules; cancellation policy</t>
        </is>
      </c>
      <c r="R98" s="12" t="inlineStr">
        <is>
          <t>Rooms, Rates, Guests, Payments</t>
        </is>
      </c>
      <c r="S98" s="12" t="inlineStr">
        <is>
          <t>GET, POST, PUT/PATCH, DELETE /api/v1/reservation-details; lookup, validation and audit endpoints; idempotency for financial/booking writes; entities: reservations, reservation_guests, reservation_items, deposits</t>
        </is>
      </c>
      <c r="T98" s="12" t="inlineStr">
        <is>
          <t>Must Have</t>
        </is>
      </c>
      <c r="U98" s="12" t="inlineStr">
        <is>
          <t>MVP</t>
        </is>
      </c>
      <c r="V98" s="34" t="n">
        <v>3</v>
      </c>
      <c r="W98" s="12" t="inlineStr">
        <is>
          <t>S05-S07</t>
        </is>
      </c>
      <c r="X98" s="12" t="inlineStr">
        <is>
          <t>Done</t>
        </is>
      </c>
      <c r="Y98" s="13" t="n">
        <v>1</v>
      </c>
      <c r="Z98" s="12" t="n"/>
      <c r="AA98" s="12" t="inlineStr">
        <is>
          <t>TC-028-A</t>
        </is>
      </c>
      <c r="AB98" s="12" t="inlineStr">
        <is>
          <t>Approved screen design; story reviewed with Reservation Manager; dependencies, API contract, role permissions and test data identified.</t>
        </is>
      </c>
      <c r="AC98" s="12" t="inlineStr">
        <is>
          <t>Code reviewed; unit, API, UI, RBAC and integration tests pass; accessibility and responsive states verified; audit evidence captured; product owner accepts in staging.</t>
        </is>
      </c>
      <c r="AD98" s="12" t="inlineStr">
        <is>
          <t>Reservations list/details (mockup 028) view: GET /reservations property-scoped list with status filter + search by number/guest, joins guest name + room type + nights + unit count; searchable table. Verified 35 real reservations, status filter, search. REWORKED for legibility: dates render as '6 Sep 2026' (was raw ISO) with a relative badge on arrival (Today / Tomorrow / in N days / N days ago) so near-identical rows can be told apart and past-dated arrivals stand out; the arrival window filter (arrival_from/arrival_to) is now exposed with Today / Next 7 days presets - the API had supported it since US-028 but no control existed; result count and per-filter empty states ('No reservations arrive on 9 Sep 2026', 'No reservations are cancelled') with a Clear all filters action. IMPORTANT DATA FIX: the list and detail queries returned COALESCE(g.full_name, 'Guest'), so 32 of 35 reservations with no primary_guest_id displayed the literal word 'Guest' as if it were a name; guest_name is now nullable and the UI shows a muted 'No guest on file'. Consumers updated (Reservations, Deposit Schedule, and Checkout Folio, whose initials avatar would have thrown on null). REBUILT 2026-09-10. Previously marked Done on the strength of a side DRAWER in the reservations list showing a status pill, guest name, three buttons and the room units - roughly 15% of the mockup. Now a full page at /reservations/:id backed by a new GET /reservations/{id}/full, with the mockup's six tabs (Overview, Guests, Charges, Payments, Communications, Activity), the summary strip (guest with contact, check-in/out, nights, guests, rooms), and header actions Modify Stay / Assign Room / Open Folio / Cancel, each shown only when the caller holds the permission and the booking is in a state that allows it. The drawer now links through with 'View Full Details'.</t>
        </is>
      </c>
    </row>
    <row r="99" ht="78" customHeight="1" s="43">
      <c r="A99" s="11" t="n">
        <v>1</v>
      </c>
      <c r="B99" s="11" t="n">
        <v>95</v>
      </c>
      <c r="C99" s="12" t="inlineStr">
        <is>
          <t>US-028-02</t>
        </is>
      </c>
      <c r="D99" s="12" t="inlineStr">
        <is>
          <t>Complete the primary Reservation Details workflow</t>
        </is>
      </c>
      <c r="E99" s="12" t="inlineStr">
        <is>
          <t>EPIC-03</t>
        </is>
      </c>
      <c r="F99" s="12" t="inlineStr">
        <is>
          <t>Reservations</t>
        </is>
      </c>
      <c r="G99" s="12" t="inlineStr">
        <is>
          <t>Booking Details</t>
        </is>
      </c>
      <c r="H99" s="11" t="inlineStr">
        <is>
          <t>SCR-028</t>
        </is>
      </c>
      <c r="I99" s="12" t="inlineStr">
        <is>
          <t>Reservation Details</t>
        </is>
      </c>
      <c r="J99" s="12" t="inlineStr">
        <is>
          <t>Primary Workflow</t>
        </is>
      </c>
      <c r="K99" s="12" t="inlineStr">
        <is>
          <t>Reservation Manager</t>
        </is>
      </c>
      <c r="L99" s="12" t="inlineStr">
        <is>
          <t>As a Reservation Manager, I want to list, search, filter, view, create, edit, cancel/delete under policy, export in Reservation Details, so that the booking details process is completed accurately without duplicate or inconsistent records.</t>
        </is>
      </c>
      <c r="M99" s="12" t="inlineStr">
        <is>
          <t>Enable reservations users to manage booking details through the Reservation Details workflow with real-time status, validations and traceability.</t>
        </is>
      </c>
      <c r="N99" s="12" t="inlineStr">
        <is>
          <t>View access confirmed; required masters and linked records exist; Rooms, Rates, Guests, Payments services are available; approval limit is valid.</t>
        </is>
      </c>
      <c r="O9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reservation details workflow; invalid or conflicting actions are blocked with clear messages; saved changes appear in related screens; sensitive changes are auditable.</t>
        </is>
      </c>
      <c r="P99" s="12" t="inlineStr">
        <is>
          <t>Duplicate submission is idempotent; stale data returns a refresh/conflict message; invalid status transitions are blocked; partial failure rolls back without orphan records.</t>
        </is>
      </c>
      <c r="Q99" s="12" t="inlineStr">
        <is>
          <t>Tenant/property scope; required fields; optimistic locking; timezone-safe dates; reason mandatory for overrides; availability and overlap check; status-transition rules; cancellation policy</t>
        </is>
      </c>
      <c r="R99" s="12" t="inlineStr">
        <is>
          <t>Rooms, Rates, Guests, Payments</t>
        </is>
      </c>
      <c r="S99" s="12" t="inlineStr">
        <is>
          <t>GET, POST, PUT/PATCH, DELETE /api/v1/reservation-details; lookup, validation and audit endpoints; idempotency for financial/booking writes; entities: reservations, reservation_guests, reservation_items, deposits</t>
        </is>
      </c>
      <c r="T99" s="12" t="inlineStr">
        <is>
          <t>Must Have</t>
        </is>
      </c>
      <c r="U99" s="12" t="inlineStr">
        <is>
          <t>MVP</t>
        </is>
      </c>
      <c r="V99" s="34" t="n">
        <v>8</v>
      </c>
      <c r="W99" s="12" t="inlineStr">
        <is>
          <t>S05-S07</t>
        </is>
      </c>
      <c r="X99" s="12" t="inlineStr">
        <is>
          <t>Done</t>
        </is>
      </c>
      <c r="Y99" s="13" t="n">
        <v>1</v>
      </c>
      <c r="Z99" s="12" t="n"/>
      <c r="AA99" s="12" t="inlineStr">
        <is>
          <t>TC-028-B</t>
        </is>
      </c>
      <c r="AB99" s="12" t="inlineStr">
        <is>
          <t>Approved screen design; story reviewed with Reservation Manager; dependencies, API contract, role permissions and test data identified.</t>
        </is>
      </c>
      <c r="AC99" s="12" t="inlineStr">
        <is>
          <t>Code reviewed; unit, API, UI, RBAC and integration tests pass; accessibility and responsive states verified; audit evidence captured; product owner accepts in staging.</t>
        </is>
      </c>
      <c r="AD99" s="12" t="inlineStr">
        <is>
          <t>Primary workflow: reservation detail drawer via GET /reservations/{id}/detail (units: room type, dates, nights, adults/children, per-unit status, assigned room); New Reservation success routes here. Verified detail returns units. EXTENDED: the drawer selection now lives in the URL (/reservations?id=&lt;uuid&gt;), so other screens can link straight to one reservation and Back closes the drawer; the header reads the number from the detail, not the list row, so a linked-to reservation renders even when the current filter excludes it. Detail also returns assigned_room_id (not just the room code) so screens can link to the room. Verified deep link opens CBR016915AE with the row highlighted. 2026-09-10 PREREQUISITE FIXED (booking-core 0020_reservation_attrs): the mockup asks for ten Booking Information fields that had NOWHERE TO LIVE - booking.reservations held only number/status/currency/guest. Added source, market_segment, purpose_of_stay, company_name, travel_agent, reference, remarks, special_requests and cancellation_policy_id; rate_plan_id and meal_plan_id go on reservation_units because three rooms on one booking can sit on different plans. source is a CLOSED SET enforced by ck_reservation_source AND a Literal in the pydantic schema, so a bad value is a 422 naming the allowed values rather than a check constraint surfacing as a 500 (verified both). company/travel_agent are text on purpose: there is no company or agent master, and building one with commission and credit terms is a domain not a column. THE NEW RESERVATION SCREEN NOW PERSISTS ITS BOOKING SOURCE - it had been collected and discarded since the screen was written, which is also why the Room Rack could not count walk-ins. Existing reservations were left NULL rather than backfilled to a guess: blank means nobody recorded one, which is not the same as 'Direct'. Default cancellation policy backfilled onto all 15 existing bookings. Verified end to end: a walk-in booked with segment/purpose/company/reference/rate plan/meal plan reads back correctly on the detail page, and an older booking correctly shows every field as blank.</t>
        </is>
      </c>
    </row>
    <row r="100" ht="78" customHeight="1" s="43">
      <c r="A100" s="11" t="n">
        <v>1</v>
      </c>
      <c r="B100" s="11" t="n">
        <v>96</v>
      </c>
      <c r="C100" s="12" t="inlineStr">
        <is>
          <t>US-028-03</t>
        </is>
      </c>
      <c r="D100" s="12" t="inlineStr">
        <is>
          <t>Control permissions, overrides and audit for Reservation Details</t>
        </is>
      </c>
      <c r="E100" s="12" t="inlineStr">
        <is>
          <t>EPIC-03</t>
        </is>
      </c>
      <c r="F100" s="12" t="inlineStr">
        <is>
          <t>Reservations</t>
        </is>
      </c>
      <c r="G100" s="12" t="inlineStr">
        <is>
          <t>Booking Details</t>
        </is>
      </c>
      <c r="H100" s="11" t="inlineStr">
        <is>
          <t>SCR-028</t>
        </is>
      </c>
      <c r="I100" s="12" t="inlineStr">
        <is>
          <t>Reservation Details</t>
        </is>
      </c>
      <c r="J100" s="12" t="inlineStr">
        <is>
          <t>Security / Exceptions</t>
        </is>
      </c>
      <c r="K100" s="12" t="inlineStr">
        <is>
          <t>Reservation Manager</t>
        </is>
      </c>
      <c r="L100" s="12" t="inlineStr">
        <is>
          <t>As a department supervisor or auditor, I want sensitive actions in Reservation Details to follow permissions, approval limits and audit rules, so that resort operations remain secure, compliant and traceable.</t>
        </is>
      </c>
      <c r="M100" s="12" t="inlineStr">
        <is>
          <t>Reduces fraud, privacy leakage, unauthorized overrides and unresolved operational disputes.</t>
        </is>
      </c>
      <c r="N100" s="12" t="inlineStr">
        <is>
          <t>Roles, permissions, approval hierarchy and audit service are configured; allowed and denied test users exist.</t>
        </is>
      </c>
      <c r="O10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00" s="12" t="inlineStr">
        <is>
          <t>Tampered IDs, expired sessions, approval-limit violations and cross-tenant requests are rejected; secrets and sensitive guest/payment fields are never written to logs.</t>
        </is>
      </c>
      <c r="Q100" s="12" t="inlineStr">
        <is>
          <t>Tenant/property scope; required fields; optimistic locking; timezone-safe dates; reason mandatory for overrides; availability and overlap check; status-transition rules; cancellation policy</t>
        </is>
      </c>
      <c r="R100" s="12" t="inlineStr">
        <is>
          <t>Rooms, Rates, Guests, Payments</t>
        </is>
      </c>
      <c r="S100" s="12" t="inlineStr">
        <is>
          <t>GET, POST, PUT/PATCH, DELETE /api/v1/reservation-details; lookup, validation and audit endpoints; idempotency for financial/booking writes; entities: reservations, reservation_guests, reservation_items, deposits</t>
        </is>
      </c>
      <c r="T100" s="12" t="inlineStr">
        <is>
          <t>Must Have</t>
        </is>
      </c>
      <c r="U100" s="12" t="inlineStr">
        <is>
          <t>MVP</t>
        </is>
      </c>
      <c r="V100" s="34" t="n">
        <v>5</v>
      </c>
      <c r="W100" s="12" t="inlineStr">
        <is>
          <t>S05-S07</t>
        </is>
      </c>
      <c r="X100" s="12" t="inlineStr">
        <is>
          <t>Done</t>
        </is>
      </c>
      <c r="Y100" s="13" t="n">
        <v>1</v>
      </c>
      <c r="Z100" s="12" t="n"/>
      <c r="AA100" s="12" t="inlineStr">
        <is>
          <t>TC-028-C</t>
        </is>
      </c>
      <c r="AB100" s="12" t="inlineStr">
        <is>
          <t>Approved screen design; story reviewed with Reservation Manager; dependencies, API contract, role permissions and test data identified.</t>
        </is>
      </c>
      <c r="AC100" s="12" t="inlineStr">
        <is>
          <t>Code reviewed; unit, API, UI, RBAC and integration tests pass; accessibility and responsive states verified; audit evidence captured; product owner accepts in staging.</t>
        </is>
      </c>
      <c r="AD100" s="12" t="inlineStr">
        <is>
          <t>Security/exceptions. These routes were written before chirala_common existed and had NO permission check and NO audit: anyone who could reach the gateway could list every guest, read every folio and post a payment. All 28 endpoints across booking-core routes.py and finance routes.py now carry build_authz guards (require_permission where a property_id is in scope, require_org_permission otherwise). PREREQUISITE FOUND AND FIXED: the guests resource was granted to zero roles and reservations/dashboard to one or two, so guarding first would have locked every role out of the product; iam 0009_core_grants grants them (this is the third such migration after payments in 0007 and front_desk in 0008). SECOND PREREQUISITE: the gateway's /flows/* endpoints called booking-core and finance ANONYMOUSLY, so the aggregation was itself the hole that kept those routes open - the flow client now forwards the caller's token, and each service applies its own checks to the real user. ALSO FIXED a latent bug in the shared authz library: _GRANT_SQL used a bare :prop in both `IS NULL` and a comparison, which Postgres cannot type when an org-scoped check passes NULL - every require_org_permission call was a 500 waiting to happen. Verified: anonymous GET/POST on reservations, guests, folios, payments and /flows/dashboard all return 401; the same calls with a valid token return 200; Dashboard, Guests and Reservations still load in Chrome. 2026-09-10. Guarded on reservations.view; Modify/Cancel/Assign are rendered from server-evaluated reservations.edit and reservations.cancel grants, so a user without them never sees a control that would 403. Financials are read from finance.folio_entries through the folio, so the page agrees with the folio and invoice screens by construction - verified 25,485 charges / 15,500 paid / 9,985 due matches the invoice screen exactly, including the 2,500 credit note. Activity reads iam.audit_events directly rather than reconstructing, so it shows anything done outside this screen. NOT BUILT AND STATED ON SCREEN: Communications is an explicit empty state - there is no message table and no mail or WhatsApp transport, so 'Send Confirmation' has nothing to send and was left off rather than added as a dead button. The Guests tab notes that only the lead guest is linked to a booking because there is no additional-occupant table, so a second adult cannot be named or ID-checked (same gap as eZee's 'Add Guest Profile to Bookings' and a prerequisite for SCR-030/031 group bookings).</t>
        </is>
      </c>
    </row>
    <row r="101" ht="78" customHeight="1" s="43">
      <c r="A101" s="11" t="n">
        <v>1</v>
      </c>
      <c r="B101" s="11" t="n">
        <v>97</v>
      </c>
      <c r="C101" s="12" t="inlineStr">
        <is>
          <t>US-029-01</t>
        </is>
      </c>
      <c r="D101" s="12" t="inlineStr">
        <is>
          <t>View and find information in Modify or Cancel Reservation</t>
        </is>
      </c>
      <c r="E101" s="12" t="inlineStr">
        <is>
          <t>EPIC-03</t>
        </is>
      </c>
      <c r="F101" s="12" t="inlineStr">
        <is>
          <t>Reservations</t>
        </is>
      </c>
      <c r="G101" s="12" t="inlineStr">
        <is>
          <t>Booking Modification</t>
        </is>
      </c>
      <c r="H101" s="11" t="inlineStr">
        <is>
          <t>SCR-029</t>
        </is>
      </c>
      <c r="I101" s="12" t="inlineStr">
        <is>
          <t>Modify or Cancel Reservation</t>
        </is>
      </c>
      <c r="J101" s="12" t="inlineStr">
        <is>
          <t>View / Search</t>
        </is>
      </c>
      <c r="K101" s="12" t="inlineStr">
        <is>
          <t>Reservation Manager</t>
        </is>
      </c>
      <c r="L101" s="12" t="inlineStr">
        <is>
          <t>As a Reservation Manager, I want to open Modify or Cancel Reservation and find relevant records using search, filters and sorting, so that I can make accurate operational decisions.</t>
        </is>
      </c>
      <c r="M101" s="12" t="inlineStr">
        <is>
          <t>Provides timely visibility for booking modification and reduces manual lookup effort.</t>
        </is>
      </c>
      <c r="N101" s="12" t="inlineStr">
        <is>
          <t>Authenticated user; active property; view permission for Reservations; Rooms, Rates, Guests, Payments data available.</t>
        </is>
      </c>
      <c r="O101" s="12" t="inlineStr">
        <is>
          <t>Given I am authenticated as Reservation Manager with access to the selected property, when I open Modify or Cancel Reservation,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01" s="12" t="inlineStr">
        <is>
          <t>Cross-property data never appears; unauthorized fields are masked; invalid filters do not break the screen; unavailable services return a controlled message.</t>
        </is>
      </c>
      <c r="Q101" s="12" t="inlineStr">
        <is>
          <t>Tenant/property scope; required fields; optimistic locking; timezone-safe dates; reason mandatory for overrides; availability and overlap check; status-transition rules; cancellation policy</t>
        </is>
      </c>
      <c r="R101" s="12" t="inlineStr">
        <is>
          <t>Rooms, Rates, Guests, Payments</t>
        </is>
      </c>
      <c r="S101" s="12" t="inlineStr">
        <is>
          <t>GET, POST, PUT/PATCH, DELETE /api/v1/modify-or-cancel-reservation; lookup, validation and audit endpoints; idempotency for financial/booking writes; entities: reservations, reservation_guests, reservation_items, deposits</t>
        </is>
      </c>
      <c r="T101" s="12" t="inlineStr">
        <is>
          <t>Must Have</t>
        </is>
      </c>
      <c r="U101" s="12" t="inlineStr">
        <is>
          <t>MVP</t>
        </is>
      </c>
      <c r="V101" s="34" t="n">
        <v>3</v>
      </c>
      <c r="W101" s="12" t="inlineStr">
        <is>
          <t>S05-S07</t>
        </is>
      </c>
      <c r="X101" s="12" t="inlineStr">
        <is>
          <t>Done</t>
        </is>
      </c>
      <c r="Y101" s="13" t="n">
        <v>1</v>
      </c>
      <c r="Z101" s="12" t="n"/>
      <c r="AA101" s="12" t="inlineStr">
        <is>
          <t>TC-029-A</t>
        </is>
      </c>
      <c r="AB101" s="12" t="inlineStr">
        <is>
          <t>Approved screen design; story reviewed with Reservation Manager; dependencies, API contract, role permissions and test data identified.</t>
        </is>
      </c>
      <c r="AC101" s="12" t="inlineStr">
        <is>
          <t>Code reviewed; unit, API, UI, RBAC and integration tests pass; accessibility and responsive states verified; audit evidence captured; product owner accepts in staging.</t>
        </is>
      </c>
      <c r="AD101" s="12" t="inlineStr">
        <is>
          <t>Modify or Cancel Reservation (mockup 029) at /reservations/{id}/modify, reached from the reservations drawer. Two tabs - Modify Stay and Cancel Reservation - as the mockup has them. Modify shows the Current vs Proposed comparison side by side with a live price difference; GET /reservations/{id}/change-view returns the booking, the room types, the property's cancellation policy and whether the booking can be changed at all. Cancel shows the policy text beside the arithmetic it produced. Migration 0018 adds property.cancellation_policies (free_until_days, penalty_nights, approval threshold and the wording the guest is shown, seeded with the mockup's own policy) and booking.reservation_changes, append-only with before/after JSON - a booking modified three times is three decisions, each with a price, and 'what changed on the 14th' must be answerable without replaying state. Verified in Chrome on CBR39535923.</t>
        </is>
      </c>
    </row>
    <row r="102" ht="78" customHeight="1" s="43">
      <c r="A102" s="11" t="n">
        <v>1</v>
      </c>
      <c r="B102" s="11" t="n">
        <v>98</v>
      </c>
      <c r="C102" s="12" t="inlineStr">
        <is>
          <t>US-029-02</t>
        </is>
      </c>
      <c r="D102" s="12" t="inlineStr">
        <is>
          <t>Complete the primary Modify or Cancel Reservation workflow</t>
        </is>
      </c>
      <c r="E102" s="12" t="inlineStr">
        <is>
          <t>EPIC-03</t>
        </is>
      </c>
      <c r="F102" s="12" t="inlineStr">
        <is>
          <t>Reservations</t>
        </is>
      </c>
      <c r="G102" s="12" t="inlineStr">
        <is>
          <t>Booking Modification</t>
        </is>
      </c>
      <c r="H102" s="11" t="inlineStr">
        <is>
          <t>SCR-029</t>
        </is>
      </c>
      <c r="I102" s="12" t="inlineStr">
        <is>
          <t>Modify or Cancel Reservation</t>
        </is>
      </c>
      <c r="J102" s="12" t="inlineStr">
        <is>
          <t>Primary Workflow</t>
        </is>
      </c>
      <c r="K102" s="12" t="inlineStr">
        <is>
          <t>Reservation Manager</t>
        </is>
      </c>
      <c r="L102" s="12" t="inlineStr">
        <is>
          <t>As a Reservation Manager, I want to list, search, filter, view, create, edit, cancel/delete under policy, export in Modify or Cancel Reservation, so that the booking modification process is completed accurately without duplicate or inconsistent records.</t>
        </is>
      </c>
      <c r="M102" s="12" t="inlineStr">
        <is>
          <t>Enable reservations users to manage booking modification through the Modify or Cancel Reservation workflow with real-time status, validations and traceability.</t>
        </is>
      </c>
      <c r="N102" s="12" t="inlineStr">
        <is>
          <t>View access confirmed; required masters and linked records exist; Rooms, Rates, Guests, Payments services are available; approval limit is valid.</t>
        </is>
      </c>
      <c r="O10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modify or cancel reservation workflow; invalid or conflicting actions are blocked with clear messages; saved changes appear in related screens; sensitive changes are auditable.</t>
        </is>
      </c>
      <c r="P102" s="12" t="inlineStr">
        <is>
          <t>Duplicate submission is idempotent; stale data returns a refresh/conflict message; invalid status transitions are blocked; partial failure rolls back without orphan records.</t>
        </is>
      </c>
      <c r="Q102" s="12" t="inlineStr">
        <is>
          <t>Tenant/property scope; required fields; optimistic locking; timezone-safe dates; reason mandatory for overrides; availability and overlap check; status-transition rules; cancellation policy</t>
        </is>
      </c>
      <c r="R102" s="12" t="inlineStr">
        <is>
          <t>Rooms, Rates, Guests, Payments</t>
        </is>
      </c>
      <c r="S102" s="12" t="inlineStr">
        <is>
          <t>GET, POST, PUT/PATCH, DELETE /api/v1/modify-or-cancel-reservation; lookup, validation and audit endpoints; idempotency for financial/booking writes; entities: reservations, reservation_guests, reservation_items, deposits</t>
        </is>
      </c>
      <c r="T102" s="12" t="inlineStr">
        <is>
          <t>Must Have</t>
        </is>
      </c>
      <c r="U102" s="12" t="inlineStr">
        <is>
          <t>MVP</t>
        </is>
      </c>
      <c r="V102" s="34" t="n">
        <v>8</v>
      </c>
      <c r="W102" s="12" t="inlineStr">
        <is>
          <t>S05-S07</t>
        </is>
      </c>
      <c r="X102" s="12" t="inlineStr">
        <is>
          <t>Done</t>
        </is>
      </c>
      <c r="Y102" s="13" t="n">
        <v>1</v>
      </c>
      <c r="Z102" s="12" t="n"/>
      <c r="AA102" s="12" t="inlineStr">
        <is>
          <t>TC-029-B</t>
        </is>
      </c>
      <c r="AB102" s="12" t="inlineStr">
        <is>
          <t>Approved screen design; story reviewed with Reservation Manager; dependencies, API contract, role permissions and test data identified.</t>
        </is>
      </c>
      <c r="AC102" s="12" t="inlineStr">
        <is>
          <t>Code reviewed; unit, API, UI, RBAC and integration tests pass; accessibility and responsive states verified; audit evidence captured; product owner accepts in staging.</t>
        </is>
      </c>
      <c r="AD102" s="12" t="inlineStr">
        <is>
          <t>Primary workflow: POST /reservations/{id}/modify-quote prices the proposed stay against the same rate resolution the rest of the system uses AND re-checks availability using the same physical_capacity - out_of_service - held - reserved - allotment sum inventory.py uses, plus this reservation's own hold (it is being moved, not added); POST .../modify applies it. POST .../cancel releases the room calendar entries, returns reserved_units to inventory, posts the policy penalty as a cancellation_fee debit and sets reservation + units to cancelled. GET .../cancel-quote prices it first. Modifying RELEASES an assigned room, because new dates or a new room type may not suit it, and says so - silently keeping it would misstate where the guest is sleeping. Verified: Anil Kapoor 3 -&gt; 4 nights posted +Rs 6,500 to the folio; kishore cancelled with penalty Rs 6,500, refund estimate Rs 7,530, rooms and inventory released. 'cancelled' is now a status the product can actually reach - the Cancelled filter on the reservations list was permanently empty before this.</t>
        </is>
      </c>
    </row>
    <row r="103" ht="78" customHeight="1" s="43">
      <c r="A103" s="11" t="n">
        <v>1</v>
      </c>
      <c r="B103" s="11" t="n">
        <v>99</v>
      </c>
      <c r="C103" s="12" t="inlineStr">
        <is>
          <t>US-029-03</t>
        </is>
      </c>
      <c r="D103" s="12" t="inlineStr">
        <is>
          <t>Control permissions, overrides and audit for Modify or Cancel Reservation</t>
        </is>
      </c>
      <c r="E103" s="12" t="inlineStr">
        <is>
          <t>EPIC-03</t>
        </is>
      </c>
      <c r="F103" s="12" t="inlineStr">
        <is>
          <t>Reservations</t>
        </is>
      </c>
      <c r="G103" s="12" t="inlineStr">
        <is>
          <t>Booking Modification</t>
        </is>
      </c>
      <c r="H103" s="11" t="inlineStr">
        <is>
          <t>SCR-029</t>
        </is>
      </c>
      <c r="I103" s="12" t="inlineStr">
        <is>
          <t>Modify or Cancel Reservation</t>
        </is>
      </c>
      <c r="J103" s="12" t="inlineStr">
        <is>
          <t>Security / Exceptions</t>
        </is>
      </c>
      <c r="K103" s="12" t="inlineStr">
        <is>
          <t>Reservation Manager</t>
        </is>
      </c>
      <c r="L103" s="12" t="inlineStr">
        <is>
          <t>As a department supervisor or auditor, I want sensitive actions in Modify or Cancel Reservation to follow permissions, approval limits and audit rules, so that resort operations remain secure, compliant and traceable.</t>
        </is>
      </c>
      <c r="M103" s="12" t="inlineStr">
        <is>
          <t>Reduces fraud, privacy leakage, unauthorized overrides and unresolved operational disputes.</t>
        </is>
      </c>
      <c r="N103" s="12" t="inlineStr">
        <is>
          <t>Roles, permissions, approval hierarchy and audit service are configured; allowed and denied test users exist.</t>
        </is>
      </c>
      <c r="O10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03" s="12" t="inlineStr">
        <is>
          <t>Tampered IDs, expired sessions, approval-limit violations and cross-tenant requests are rejected; secrets and sensitive guest/payment fields are never written to logs.</t>
        </is>
      </c>
      <c r="Q103" s="12" t="inlineStr">
        <is>
          <t>Tenant/property scope; required fields; optimistic locking; timezone-safe dates; reason mandatory for overrides; availability and overlap check; status-transition rules; cancellation policy</t>
        </is>
      </c>
      <c r="R103" s="12" t="inlineStr">
        <is>
          <t>Rooms, Rates, Guests, Payments</t>
        </is>
      </c>
      <c r="S103" s="12" t="inlineStr">
        <is>
          <t>GET, POST, PUT/PATCH, DELETE /api/v1/modify-or-cancel-reservation; lookup, validation and audit endpoints; idempotency for financial/booking writes; entities: reservations, reservation_guests, reservation_items, deposits</t>
        </is>
      </c>
      <c r="T103" s="12" t="inlineStr">
        <is>
          <t>Must Have</t>
        </is>
      </c>
      <c r="U103" s="12" t="inlineStr">
        <is>
          <t>MVP</t>
        </is>
      </c>
      <c r="V103" s="34" t="n">
        <v>5</v>
      </c>
      <c r="W103" s="12" t="inlineStr">
        <is>
          <t>S05-S07</t>
        </is>
      </c>
      <c r="X103" s="12" t="inlineStr">
        <is>
          <t>Done</t>
        </is>
      </c>
      <c r="Y103" s="13" t="n">
        <v>1</v>
      </c>
      <c r="Z103" s="12" t="n"/>
      <c r="AA103" s="12" t="inlineStr">
        <is>
          <t>TC-029-C</t>
        </is>
      </c>
      <c r="AB103" s="12" t="inlineStr">
        <is>
          <t>Approved screen design; story reviewed with Reservation Manager; dependencies, API contract, role permissions and test data identified.</t>
        </is>
      </c>
      <c r="AC103" s="12" t="inlineStr">
        <is>
          <t>Code reviewed; unit, API, UI, RBAC and integration tests pass; accessibility and responsive states verified; audit evidence captured; product owner accepts in staging.</t>
        </is>
      </c>
      <c r="AD103" s="12" t="inlineStr">
        <is>
          <t>Security/exceptions: RBAC reservations.view / edit / cancel, deny-by-default; waiving the cancellation penalty additionally needs reservations.approve (403 without). Verified: cancelling twice -&gt; 422; departure on or before arrival -&gt; 422; a stay with no inventory configured -&gt; refused with the date named rather than failing at save; a checked-in or checked-out booking -&gt; 422 pointing at Room Move or Check-out instead. A CANCELLATION WHOSE REFUND EXCEEDS THE POLICY THRESHOLD IS RECORDED AS pending_approval AND THE BOOKING STAYS LIVE - 042 has a queue but still no path into it, and cancelling on an imagined approval would leave a guest with neither a room nor their money. Cancelling does NOT move money: the refund is estimated and flagged, and processing it is a folio action. Append-only audit reservation.modified / reservation.cancelled / reservation.cancellation_requested. Also fixed: the availability query referenced a total_units column that does not exist.</t>
        </is>
      </c>
    </row>
    <row r="104" ht="78" customHeight="1" s="43">
      <c r="A104" s="11" t="n">
        <v>1</v>
      </c>
      <c r="B104" s="11" t="n">
        <v>100</v>
      </c>
      <c r="C104" s="12" t="inlineStr">
        <is>
          <t>US-030-01</t>
        </is>
      </c>
      <c r="D104" s="12" t="inlineStr">
        <is>
          <t>View and find information in Group Booking</t>
        </is>
      </c>
      <c r="E104" s="12" t="inlineStr">
        <is>
          <t>EPIC-21</t>
        </is>
      </c>
      <c r="F104" s="12" t="inlineStr">
        <is>
          <t>Groups</t>
        </is>
      </c>
      <c r="G104" s="12" t="inlineStr">
        <is>
          <t>Group Booking</t>
        </is>
      </c>
      <c r="H104" s="11" t="inlineStr">
        <is>
          <t>SCR-030</t>
        </is>
      </c>
      <c r="I104" s="12" t="inlineStr">
        <is>
          <t>Group Booking</t>
        </is>
      </c>
      <c r="J104" s="12" t="inlineStr">
        <is>
          <t>View / Search</t>
        </is>
      </c>
      <c r="K104" s="12" t="inlineStr">
        <is>
          <t>Sales</t>
        </is>
      </c>
      <c r="L104" s="12" t="inlineStr">
        <is>
          <t>As a Sales, I want to open Group Booking and find relevant records using search, filters and sorting, so that I can make accurate operational decisions.</t>
        </is>
      </c>
      <c r="M104" s="12" t="inlineStr">
        <is>
          <t>Provides timely visibility for group booking and reduces manual lookup effort.</t>
        </is>
      </c>
      <c r="N104" s="12" t="inlineStr">
        <is>
          <t>Authenticated user; active property; view permission for Groups; Reservations, Rooms, Finance data available.</t>
        </is>
      </c>
      <c r="O104" s="12" t="inlineStr">
        <is>
          <t>Given I am authenticated as Sales with access to the selected property, when I open Group Booking,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04" s="12" t="inlineStr">
        <is>
          <t>Cross-property data never appears; unauthorized fields are masked; invalid filters do not break the screen; unavailable services return a controlled message.</t>
        </is>
      </c>
      <c r="Q104" s="12" t="inlineStr">
        <is>
          <t>Tenant/property scope; required fields; optimistic locking; timezone-safe dates; reason mandatory for overrides; availability and overlap check; status-transition rules; cancellation policy</t>
        </is>
      </c>
      <c r="R104" s="12" t="inlineStr">
        <is>
          <t>Reservations, Rooms, Finance</t>
        </is>
      </c>
      <c r="S104" s="12" t="inlineStr">
        <is>
          <t>GET, POST, PUT/PATCH, DELETE /api/v1/group-booking; lookup, validation and audit endpoints; idempotency for financial/booking writes; entities: group_bookings, rooming_lists, group_blocks</t>
        </is>
      </c>
      <c r="T104" s="12" t="inlineStr">
        <is>
          <t>Must Have</t>
        </is>
      </c>
      <c r="U104" s="12" t="inlineStr">
        <is>
          <t>MVP</t>
        </is>
      </c>
      <c r="V104" s="34" t="n">
        <v>3</v>
      </c>
      <c r="W104" s="12" t="inlineStr">
        <is>
          <t>S05-S07</t>
        </is>
      </c>
      <c r="X104" s="12" t="inlineStr">
        <is>
          <t>Backlog</t>
        </is>
      </c>
      <c r="Y104" s="13">
        <f>IF(X104="Done",1,IF(X104="QA",0.9,IF(X104="Code Review",0.75,IF(X104="In Development",0.5,IF(X104="Ready",0.1,0)))))</f>
        <v/>
      </c>
      <c r="Z104" s="12" t="n"/>
      <c r="AA104" s="12" t="inlineStr">
        <is>
          <t>TC-030-A</t>
        </is>
      </c>
      <c r="AB104" s="12" t="inlineStr">
        <is>
          <t>Approved screen design; story reviewed with Sales; dependencies, API contract, role permissions and test data identified.</t>
        </is>
      </c>
      <c r="AC104" s="12" t="inlineStr">
        <is>
          <t>Code reviewed; unit, API, UI, RBAC and integration tests pass; accessibility and responsive states verified; audit evidence captured; product owner accepts in staging.</t>
        </is>
      </c>
      <c r="AD104" s="12" t="n"/>
    </row>
    <row r="105" ht="78" customHeight="1" s="43">
      <c r="A105" s="11" t="n">
        <v>1</v>
      </c>
      <c r="B105" s="11" t="n">
        <v>101</v>
      </c>
      <c r="C105" s="12" t="inlineStr">
        <is>
          <t>US-030-02</t>
        </is>
      </c>
      <c r="D105" s="12" t="inlineStr">
        <is>
          <t>Complete the primary Group Booking workflow</t>
        </is>
      </c>
      <c r="E105" s="12" t="inlineStr">
        <is>
          <t>EPIC-21</t>
        </is>
      </c>
      <c r="F105" s="12" t="inlineStr">
        <is>
          <t>Groups</t>
        </is>
      </c>
      <c r="G105" s="12" t="inlineStr">
        <is>
          <t>Group Booking</t>
        </is>
      </c>
      <c r="H105" s="11" t="inlineStr">
        <is>
          <t>SCR-030</t>
        </is>
      </c>
      <c r="I105" s="12" t="inlineStr">
        <is>
          <t>Group Booking</t>
        </is>
      </c>
      <c r="J105" s="12" t="inlineStr">
        <is>
          <t>Primary Workflow</t>
        </is>
      </c>
      <c r="K105" s="12" t="inlineStr">
        <is>
          <t>Sales</t>
        </is>
      </c>
      <c r="L105" s="12" t="inlineStr">
        <is>
          <t>As a Sales, I want to list, search, filter, view, create, edit, cancel/delete under policy, export in Group Booking, so that the group booking process is completed accurately without duplicate or inconsistent records.</t>
        </is>
      </c>
      <c r="M105" s="12" t="inlineStr">
        <is>
          <t>Enable groups users to manage group booking through the Group Booking workflow with real-time status, validations and traceability.</t>
        </is>
      </c>
      <c r="N105" s="12" t="inlineStr">
        <is>
          <t>View access confirmed; required masters and linked records exist; Reservations, Rooms, Finance services are available; approval limit is valid.</t>
        </is>
      </c>
      <c r="O10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group booking workflow; invalid or conflicting actions are blocked with clear messages; saved changes appear in related screens; sensitive changes are auditable.</t>
        </is>
      </c>
      <c r="P105" s="12" t="inlineStr">
        <is>
          <t>Duplicate submission is idempotent; stale data returns a refresh/conflict message; invalid status transitions are blocked; partial failure rolls back without orphan records.</t>
        </is>
      </c>
      <c r="Q105" s="12" t="inlineStr">
        <is>
          <t>Tenant/property scope; required fields; optimistic locking; timezone-safe dates; reason mandatory for overrides; availability and overlap check; status-transition rules; cancellation policy</t>
        </is>
      </c>
      <c r="R105" s="12" t="inlineStr">
        <is>
          <t>Reservations, Rooms, Finance</t>
        </is>
      </c>
      <c r="S105" s="12" t="inlineStr">
        <is>
          <t>GET, POST, PUT/PATCH, DELETE /api/v1/group-booking; lookup, validation and audit endpoints; idempotency for financial/booking writes; entities: group_bookings, rooming_lists, group_blocks</t>
        </is>
      </c>
      <c r="T105" s="12" t="inlineStr">
        <is>
          <t>Must Have</t>
        </is>
      </c>
      <c r="U105" s="12" t="inlineStr">
        <is>
          <t>MVP</t>
        </is>
      </c>
      <c r="V105" s="34" t="n">
        <v>8</v>
      </c>
      <c r="W105" s="12" t="inlineStr">
        <is>
          <t>S05-S07</t>
        </is>
      </c>
      <c r="X105" s="12" t="inlineStr">
        <is>
          <t>Backlog</t>
        </is>
      </c>
      <c r="Y105" s="13">
        <f>IF(X105="Done",1,IF(X105="QA",0.9,IF(X105="Code Review",0.75,IF(X105="In Development",0.5,IF(X105="Ready",0.1,0)))))</f>
        <v/>
      </c>
      <c r="Z105" s="12" t="n"/>
      <c r="AA105" s="12" t="inlineStr">
        <is>
          <t>TC-030-B</t>
        </is>
      </c>
      <c r="AB105" s="12" t="inlineStr">
        <is>
          <t>Approved screen design; story reviewed with Sales; dependencies, API contract, role permissions and test data identified.</t>
        </is>
      </c>
      <c r="AC105" s="12" t="inlineStr">
        <is>
          <t>Code reviewed; unit, API, UI, RBAC and integration tests pass; accessibility and responsive states verified; audit evidence captured; product owner accepts in staging.</t>
        </is>
      </c>
      <c r="AD105" s="12" t="n"/>
    </row>
    <row r="106" ht="78" customHeight="1" s="43">
      <c r="A106" s="11" t="n">
        <v>1</v>
      </c>
      <c r="B106" s="11" t="n">
        <v>102</v>
      </c>
      <c r="C106" s="12" t="inlineStr">
        <is>
          <t>US-030-03</t>
        </is>
      </c>
      <c r="D106" s="12" t="inlineStr">
        <is>
          <t>Control permissions, overrides and audit for Group Booking</t>
        </is>
      </c>
      <c r="E106" s="12" t="inlineStr">
        <is>
          <t>EPIC-21</t>
        </is>
      </c>
      <c r="F106" s="12" t="inlineStr">
        <is>
          <t>Groups</t>
        </is>
      </c>
      <c r="G106" s="12" t="inlineStr">
        <is>
          <t>Group Booking</t>
        </is>
      </c>
      <c r="H106" s="11" t="inlineStr">
        <is>
          <t>SCR-030</t>
        </is>
      </c>
      <c r="I106" s="12" t="inlineStr">
        <is>
          <t>Group Booking</t>
        </is>
      </c>
      <c r="J106" s="12" t="inlineStr">
        <is>
          <t>Security / Exceptions</t>
        </is>
      </c>
      <c r="K106" s="12" t="inlineStr">
        <is>
          <t>Sales</t>
        </is>
      </c>
      <c r="L106" s="12" t="inlineStr">
        <is>
          <t>As a department supervisor or auditor, I want sensitive actions in Group Booking to follow permissions, approval limits and audit rules, so that resort operations remain secure, compliant and traceable.</t>
        </is>
      </c>
      <c r="M106" s="12" t="inlineStr">
        <is>
          <t>Reduces fraud, privacy leakage, unauthorized overrides and unresolved operational disputes.</t>
        </is>
      </c>
      <c r="N106" s="12" t="inlineStr">
        <is>
          <t>Roles, permissions, approval hierarchy and audit service are configured; allowed and denied test users exist.</t>
        </is>
      </c>
      <c r="O10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06" s="12" t="inlineStr">
        <is>
          <t>Tampered IDs, expired sessions, approval-limit violations and cross-tenant requests are rejected; secrets and sensitive guest/payment fields are never written to logs.</t>
        </is>
      </c>
      <c r="Q106" s="12" t="inlineStr">
        <is>
          <t>Tenant/property scope; required fields; optimistic locking; timezone-safe dates; reason mandatory for overrides; availability and overlap check; status-transition rules; cancellation policy</t>
        </is>
      </c>
      <c r="R106" s="12" t="inlineStr">
        <is>
          <t>Reservations, Rooms, Finance</t>
        </is>
      </c>
      <c r="S106" s="12" t="inlineStr">
        <is>
          <t>GET, POST, PUT/PATCH, DELETE /api/v1/group-booking; lookup, validation and audit endpoints; idempotency for financial/booking writes; entities: group_bookings, rooming_lists, group_blocks</t>
        </is>
      </c>
      <c r="T106" s="12" t="inlineStr">
        <is>
          <t>Must Have</t>
        </is>
      </c>
      <c r="U106" s="12" t="inlineStr">
        <is>
          <t>MVP</t>
        </is>
      </c>
      <c r="V106" s="34" t="n">
        <v>5</v>
      </c>
      <c r="W106" s="12" t="inlineStr">
        <is>
          <t>S05-S07</t>
        </is>
      </c>
      <c r="X106" s="12" t="inlineStr">
        <is>
          <t>Backlog</t>
        </is>
      </c>
      <c r="Y106" s="13">
        <f>IF(X106="Done",1,IF(X106="QA",0.9,IF(X106="Code Review",0.75,IF(X106="In Development",0.5,IF(X106="Ready",0.1,0)))))</f>
        <v/>
      </c>
      <c r="Z106" s="12" t="n"/>
      <c r="AA106" s="12" t="inlineStr">
        <is>
          <t>TC-030-C</t>
        </is>
      </c>
      <c r="AB106" s="12" t="inlineStr">
        <is>
          <t>Approved screen design; story reviewed with Sales; dependencies, API contract, role permissions and test data identified.</t>
        </is>
      </c>
      <c r="AC106" s="12" t="inlineStr">
        <is>
          <t>Code reviewed; unit, API, UI, RBAC and integration tests pass; accessibility and responsive states verified; audit evidence captured; product owner accepts in staging.</t>
        </is>
      </c>
      <c r="AD106" s="12" t="n"/>
    </row>
    <row r="107" ht="78" customHeight="1" s="43">
      <c r="A107" s="11" t="n">
        <v>1</v>
      </c>
      <c r="B107" s="11" t="n">
        <v>103</v>
      </c>
      <c r="C107" s="12" t="inlineStr">
        <is>
          <t>US-031-01</t>
        </is>
      </c>
      <c r="D107" s="12" t="inlineStr">
        <is>
          <t>View and find information in Group Rooming List and Check-In</t>
        </is>
      </c>
      <c r="E107" s="12" t="inlineStr">
        <is>
          <t>EPIC-21</t>
        </is>
      </c>
      <c r="F107" s="12" t="inlineStr">
        <is>
          <t>Groups</t>
        </is>
      </c>
      <c r="G107" s="12" t="inlineStr">
        <is>
          <t>Rooming &amp; Arrival</t>
        </is>
      </c>
      <c r="H107" s="11" t="inlineStr">
        <is>
          <t>SCR-031</t>
        </is>
      </c>
      <c r="I107" s="12" t="inlineStr">
        <is>
          <t>Group Rooming List and Check-In</t>
        </is>
      </c>
      <c r="J107" s="12" t="inlineStr">
        <is>
          <t>View / Search</t>
        </is>
      </c>
      <c r="K107" s="12" t="inlineStr">
        <is>
          <t>Sales</t>
        </is>
      </c>
      <c r="L107" s="12" t="inlineStr">
        <is>
          <t>As a Sales, I want to open Group Rooming List and Check-In and find relevant records using search, filters and sorting, so that I can make accurate operational decisions.</t>
        </is>
      </c>
      <c r="M107" s="12" t="inlineStr">
        <is>
          <t>Provides timely visibility for rooming &amp; arrival and reduces manual lookup effort.</t>
        </is>
      </c>
      <c r="N107" s="12" t="inlineStr">
        <is>
          <t>Authenticated user; active property; view permission for Groups; Reservations, Rooms, Finance data available.</t>
        </is>
      </c>
      <c r="O107" s="12" t="inlineStr">
        <is>
          <t>Given I am authenticated as Sales with access to the selected property, when I open Group Rooming List and Check-In,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07" s="12" t="inlineStr">
        <is>
          <t>Cross-property data never appears; unauthorized fields are masked; invalid filters do not break the screen; unavailable services return a controlled message.</t>
        </is>
      </c>
      <c r="Q107" s="12" t="inlineStr">
        <is>
          <t>Tenant/property scope; required fields; optimistic locking; timezone-safe dates; reason mandatory for overrides; availability and overlap check; status-transition rules; cancellation policy</t>
        </is>
      </c>
      <c r="R107" s="12" t="inlineStr">
        <is>
          <t>Reservations, Rooms, Finance</t>
        </is>
      </c>
      <c r="S107" s="12" t="inlineStr">
        <is>
          <t>GET, POST, PUT/PATCH, DELETE /api/v1/group-rooming-list-and-check-in; lookup, validation and audit endpoints; idempotency for financial/booking writes; entities: group_bookings, rooming_lists, group_blocks</t>
        </is>
      </c>
      <c r="T107" s="12" t="inlineStr">
        <is>
          <t>Must Have</t>
        </is>
      </c>
      <c r="U107" s="12" t="inlineStr">
        <is>
          <t>MVP</t>
        </is>
      </c>
      <c r="V107" s="34" t="n">
        <v>3</v>
      </c>
      <c r="W107" s="12" t="inlineStr">
        <is>
          <t>S05-S07</t>
        </is>
      </c>
      <c r="X107" s="12" t="inlineStr">
        <is>
          <t>Backlog</t>
        </is>
      </c>
      <c r="Y107" s="13">
        <f>IF(X107="Done",1,IF(X107="QA",0.9,IF(X107="Code Review",0.75,IF(X107="In Development",0.5,IF(X107="Ready",0.1,0)))))</f>
        <v/>
      </c>
      <c r="Z107" s="12" t="n"/>
      <c r="AA107" s="12" t="inlineStr">
        <is>
          <t>TC-031-A</t>
        </is>
      </c>
      <c r="AB107" s="12" t="inlineStr">
        <is>
          <t>Approved screen design; story reviewed with Sales; dependencies, API contract, role permissions and test data identified.</t>
        </is>
      </c>
      <c r="AC107" s="12" t="inlineStr">
        <is>
          <t>Code reviewed; unit, API, UI, RBAC and integration tests pass; accessibility and responsive states verified; audit evidence captured; product owner accepts in staging.</t>
        </is>
      </c>
      <c r="AD107" s="12" t="n"/>
    </row>
    <row r="108" ht="78" customHeight="1" s="43">
      <c r="A108" s="11" t="n">
        <v>1</v>
      </c>
      <c r="B108" s="11" t="n">
        <v>104</v>
      </c>
      <c r="C108" s="12" t="inlineStr">
        <is>
          <t>US-031-02</t>
        </is>
      </c>
      <c r="D108" s="12" t="inlineStr">
        <is>
          <t>Complete the primary Group Rooming List and Check-In workflow</t>
        </is>
      </c>
      <c r="E108" s="12" t="inlineStr">
        <is>
          <t>EPIC-21</t>
        </is>
      </c>
      <c r="F108" s="12" t="inlineStr">
        <is>
          <t>Groups</t>
        </is>
      </c>
      <c r="G108" s="12" t="inlineStr">
        <is>
          <t>Rooming &amp; Arrival</t>
        </is>
      </c>
      <c r="H108" s="11" t="inlineStr">
        <is>
          <t>SCR-031</t>
        </is>
      </c>
      <c r="I108" s="12" t="inlineStr">
        <is>
          <t>Group Rooming List and Check-In</t>
        </is>
      </c>
      <c r="J108" s="12" t="inlineStr">
        <is>
          <t>Primary Workflow</t>
        </is>
      </c>
      <c r="K108" s="12" t="inlineStr">
        <is>
          <t>Sales</t>
        </is>
      </c>
      <c r="L108" s="12" t="inlineStr">
        <is>
          <t>As a Sales, I want to list, search, filter, view, create, edit, cancel/delete under policy, export in Group Rooming List and Check-In, so that the rooming &amp; arrival process is completed accurately without duplicate or inconsistent records.</t>
        </is>
      </c>
      <c r="M108" s="12" t="inlineStr">
        <is>
          <t>Enable groups users to manage rooming &amp; arrival through the Group Rooming List and Check-In workflow with real-time status, validations and traceability.</t>
        </is>
      </c>
      <c r="N108" s="12" t="inlineStr">
        <is>
          <t>View access confirmed; required masters and linked records exist; Reservations, Rooms, Finance services are available; approval limit is valid.</t>
        </is>
      </c>
      <c r="O10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group rooming list and check-in workflow; invalid or conflicting actions are blocked with clear messages; saved changes appear in related screens; sensitive changes are auditable.</t>
        </is>
      </c>
      <c r="P108" s="12" t="inlineStr">
        <is>
          <t>Duplicate submission is idempotent; stale data returns a refresh/conflict message; invalid status transitions are blocked; partial failure rolls back without orphan records.</t>
        </is>
      </c>
      <c r="Q108" s="12" t="inlineStr">
        <is>
          <t>Tenant/property scope; required fields; optimistic locking; timezone-safe dates; reason mandatory for overrides; availability and overlap check; status-transition rules; cancellation policy</t>
        </is>
      </c>
      <c r="R108" s="12" t="inlineStr">
        <is>
          <t>Reservations, Rooms, Finance</t>
        </is>
      </c>
      <c r="S108" s="12" t="inlineStr">
        <is>
          <t>GET, POST, PUT/PATCH, DELETE /api/v1/group-rooming-list-and-check-in; lookup, validation and audit endpoints; idempotency for financial/booking writes; entities: group_bookings, rooming_lists, group_blocks</t>
        </is>
      </c>
      <c r="T108" s="12" t="inlineStr">
        <is>
          <t>Must Have</t>
        </is>
      </c>
      <c r="U108" s="12" t="inlineStr">
        <is>
          <t>MVP</t>
        </is>
      </c>
      <c r="V108" s="34" t="n">
        <v>8</v>
      </c>
      <c r="W108" s="12" t="inlineStr">
        <is>
          <t>S05-S07</t>
        </is>
      </c>
      <c r="X108" s="12" t="inlineStr">
        <is>
          <t>Backlog</t>
        </is>
      </c>
      <c r="Y108" s="13">
        <f>IF(X108="Done",1,IF(X108="QA",0.9,IF(X108="Code Review",0.75,IF(X108="In Development",0.5,IF(X108="Ready",0.1,0)))))</f>
        <v/>
      </c>
      <c r="Z108" s="12" t="n"/>
      <c r="AA108" s="12" t="inlineStr">
        <is>
          <t>TC-031-B</t>
        </is>
      </c>
      <c r="AB108" s="12" t="inlineStr">
        <is>
          <t>Approved screen design; story reviewed with Sales; dependencies, API contract, role permissions and test data identified.</t>
        </is>
      </c>
      <c r="AC108" s="12" t="inlineStr">
        <is>
          <t>Code reviewed; unit, API, UI, RBAC and integration tests pass; accessibility and responsive states verified; audit evidence captured; product owner accepts in staging.</t>
        </is>
      </c>
      <c r="AD108" s="12" t="n"/>
    </row>
    <row r="109" ht="78" customHeight="1" s="43">
      <c r="A109" s="11" t="n">
        <v>1</v>
      </c>
      <c r="B109" s="11" t="n">
        <v>105</v>
      </c>
      <c r="C109" s="12" t="inlineStr">
        <is>
          <t>US-031-03</t>
        </is>
      </c>
      <c r="D109" s="12" t="inlineStr">
        <is>
          <t>Control permissions, overrides and audit for Group Rooming List and Check-In</t>
        </is>
      </c>
      <c r="E109" s="12" t="inlineStr">
        <is>
          <t>EPIC-21</t>
        </is>
      </c>
      <c r="F109" s="12" t="inlineStr">
        <is>
          <t>Groups</t>
        </is>
      </c>
      <c r="G109" s="12" t="inlineStr">
        <is>
          <t>Rooming &amp; Arrival</t>
        </is>
      </c>
      <c r="H109" s="11" t="inlineStr">
        <is>
          <t>SCR-031</t>
        </is>
      </c>
      <c r="I109" s="12" t="inlineStr">
        <is>
          <t>Group Rooming List and Check-In</t>
        </is>
      </c>
      <c r="J109" s="12" t="inlineStr">
        <is>
          <t>Security / Exceptions</t>
        </is>
      </c>
      <c r="K109" s="12" t="inlineStr">
        <is>
          <t>Sales</t>
        </is>
      </c>
      <c r="L109" s="12" t="inlineStr">
        <is>
          <t>As a department supervisor or auditor, I want sensitive actions in Group Rooming List and Check-In to follow permissions, approval limits and audit rules, so that resort operations remain secure, compliant and traceable.</t>
        </is>
      </c>
      <c r="M109" s="12" t="inlineStr">
        <is>
          <t>Reduces fraud, privacy leakage, unauthorized overrides and unresolved operational disputes.</t>
        </is>
      </c>
      <c r="N109" s="12" t="inlineStr">
        <is>
          <t>Roles, permissions, approval hierarchy and audit service are configured; allowed and denied test users exist.</t>
        </is>
      </c>
      <c r="O10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09" s="12" t="inlineStr">
        <is>
          <t>Tampered IDs, expired sessions, approval-limit violations and cross-tenant requests are rejected; secrets and sensitive guest/payment fields are never written to logs.</t>
        </is>
      </c>
      <c r="Q109" s="12" t="inlineStr">
        <is>
          <t>Tenant/property scope; required fields; optimistic locking; timezone-safe dates; reason mandatory for overrides; availability and overlap check; status-transition rules; cancellation policy</t>
        </is>
      </c>
      <c r="R109" s="12" t="inlineStr">
        <is>
          <t>Reservations, Rooms, Finance</t>
        </is>
      </c>
      <c r="S109" s="12" t="inlineStr">
        <is>
          <t>GET, POST, PUT/PATCH, DELETE /api/v1/group-rooming-list-and-check-in; lookup, validation and audit endpoints; idempotency for financial/booking writes; entities: group_bookings, rooming_lists, group_blocks</t>
        </is>
      </c>
      <c r="T109" s="12" t="inlineStr">
        <is>
          <t>Must Have</t>
        </is>
      </c>
      <c r="U109" s="12" t="inlineStr">
        <is>
          <t>MVP</t>
        </is>
      </c>
      <c r="V109" s="34" t="n">
        <v>5</v>
      </c>
      <c r="W109" s="12" t="inlineStr">
        <is>
          <t>S05-S07</t>
        </is>
      </c>
      <c r="X109" s="12" t="inlineStr">
        <is>
          <t>Backlog</t>
        </is>
      </c>
      <c r="Y109" s="13">
        <f>IF(X109="Done",1,IF(X109="QA",0.9,IF(X109="Code Review",0.75,IF(X109="In Development",0.5,IF(X109="Ready",0.1,0)))))</f>
        <v/>
      </c>
      <c r="Z109" s="12" t="n"/>
      <c r="AA109" s="12" t="inlineStr">
        <is>
          <t>TC-031-C</t>
        </is>
      </c>
      <c r="AB109" s="12" t="inlineStr">
        <is>
          <t>Approved screen design; story reviewed with Sales; dependencies, API contract, role permissions and test data identified.</t>
        </is>
      </c>
      <c r="AC109" s="12" t="inlineStr">
        <is>
          <t>Code reviewed; unit, API, UI, RBAC and integration tests pass; accessibility and responsive states verified; audit evidence captured; product owner accepts in staging.</t>
        </is>
      </c>
      <c r="AD109" s="12" t="n"/>
    </row>
    <row r="110" ht="78" customHeight="1" s="43">
      <c r="A110" s="11" t="n">
        <v>1</v>
      </c>
      <c r="B110" s="11" t="n">
        <v>106</v>
      </c>
      <c r="C110" s="12" t="inlineStr">
        <is>
          <t>US-032-01</t>
        </is>
      </c>
      <c r="D110" s="12" t="inlineStr">
        <is>
          <t>View and find information in Waitlist and Enquiries</t>
        </is>
      </c>
      <c r="E110" s="12" t="inlineStr">
        <is>
          <t>EPIC-03</t>
        </is>
      </c>
      <c r="F110" s="12" t="inlineStr">
        <is>
          <t>Reservations</t>
        </is>
      </c>
      <c r="G110" s="12" t="inlineStr">
        <is>
          <t>Waitlist &amp; Enquiry</t>
        </is>
      </c>
      <c r="H110" s="11" t="inlineStr">
        <is>
          <t>SCR-032</t>
        </is>
      </c>
      <c r="I110" s="12" t="inlineStr">
        <is>
          <t>Waitlist and Enquiries</t>
        </is>
      </c>
      <c r="J110" s="12" t="inlineStr">
        <is>
          <t>View / Search</t>
        </is>
      </c>
      <c r="K110" s="12" t="inlineStr">
        <is>
          <t>Reservation Manager</t>
        </is>
      </c>
      <c r="L110" s="12" t="inlineStr">
        <is>
          <t>As a Reservation Manager, I want to open Waitlist and Enquiries and find relevant records using search, filters and sorting, so that I can make accurate operational decisions.</t>
        </is>
      </c>
      <c r="M110" s="12" t="inlineStr">
        <is>
          <t>Provides timely visibility for waitlist &amp; enquiry and reduces manual lookup effort.</t>
        </is>
      </c>
      <c r="N110" s="12" t="inlineStr">
        <is>
          <t>Authenticated user; active property; view permission for Reservations; Rooms, Rates, Guests, Payments data available.</t>
        </is>
      </c>
      <c r="O110" s="12" t="inlineStr">
        <is>
          <t>Given I am authenticated as Reservation Manager with access to the selected property, when I open Waitlist and Enquiries,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10" s="12" t="inlineStr">
        <is>
          <t>Cross-property data never appears; unauthorized fields are masked; invalid filters do not break the screen; unavailable services return a controlled message.</t>
        </is>
      </c>
      <c r="Q110" s="12" t="inlineStr">
        <is>
          <t>Tenant/property scope; required fields; optimistic locking; timezone-safe dates; reason mandatory for overrides; availability and overlap check; status-transition rules; cancellation policy</t>
        </is>
      </c>
      <c r="R110" s="12" t="inlineStr">
        <is>
          <t>Rooms, Rates, Guests, Payments</t>
        </is>
      </c>
      <c r="S110" s="12" t="inlineStr">
        <is>
          <t>GET, POST, PUT/PATCH, DELETE /api/v1/waitlist-and-enquiries; lookup, validation and audit endpoints; idempotency for financial/booking writes; entities: reservations, reservation_guests, reservation_items, deposits</t>
        </is>
      </c>
      <c r="T110" s="12" t="inlineStr">
        <is>
          <t>Must Have</t>
        </is>
      </c>
      <c r="U110" s="12" t="inlineStr">
        <is>
          <t>MVP</t>
        </is>
      </c>
      <c r="V110" s="34" t="n">
        <v>3</v>
      </c>
      <c r="W110" s="12" t="inlineStr">
        <is>
          <t>S05-S07</t>
        </is>
      </c>
      <c r="X110" s="12" t="inlineStr">
        <is>
          <t>Done</t>
        </is>
      </c>
      <c r="Y110" s="13" t="n">
        <v>1</v>
      </c>
      <c r="Z110" s="12" t="n"/>
      <c r="AA110" s="12" t="inlineStr">
        <is>
          <t>TC-032-A</t>
        </is>
      </c>
      <c r="AB110" s="12" t="inlineStr">
        <is>
          <t>Approved screen design; story reviewed with Reservation Manager; dependencies, API contract, role permissions and test data identified.</t>
        </is>
      </c>
      <c r="AC110" s="12" t="inlineStr">
        <is>
          <t>Code reviewed; unit, API, UI, RBAC and integration tests pass; accessibility and responsive states verified; audit evidence captured; product owner accepts in staging.</t>
        </is>
      </c>
      <c r="AD110" s="12" t="inlineStr">
        <is>
          <t xml:space="preserve"> BUILT 2026-09-10. New table engagement.enquiries (booking-core 0021) - the first record of demand that has NOT become a booking. Five-column Kanban (New/Contacted/Waitlisted/Offered/Converted) at /reservations/enquiries, with search over name/phone/email, channel and room-type filters, and a Follow-ups due toggle. An enquiry holds no inventory, has no folio and may never become a stay, so it is deliberately NOT modelled as a reservation. Contact details live on the enquiry rather than creating a guest record - a guest is created only on conversion, so the directory does not fill with people who never came (the duplicate problem there is bad enough). A sixth status 'lost' is how an enquiry LEAVES the board rather than a column on it; without it the board grows forever and 'Follow-ups Due' becomes a number nobody trusts. Closing as lost requires a reason. Verified in Chrome end to end.</t>
        </is>
      </c>
    </row>
    <row r="111" ht="78" customHeight="1" s="43">
      <c r="A111" s="11" t="n">
        <v>1</v>
      </c>
      <c r="B111" s="11" t="n">
        <v>107</v>
      </c>
      <c r="C111" s="12" t="inlineStr">
        <is>
          <t>US-032-02</t>
        </is>
      </c>
      <c r="D111" s="12" t="inlineStr">
        <is>
          <t>Complete the primary Waitlist and Enquiries workflow</t>
        </is>
      </c>
      <c r="E111" s="12" t="inlineStr">
        <is>
          <t>EPIC-03</t>
        </is>
      </c>
      <c r="F111" s="12" t="inlineStr">
        <is>
          <t>Reservations</t>
        </is>
      </c>
      <c r="G111" s="12" t="inlineStr">
        <is>
          <t>Waitlist &amp; Enquiry</t>
        </is>
      </c>
      <c r="H111" s="11" t="inlineStr">
        <is>
          <t>SCR-032</t>
        </is>
      </c>
      <c r="I111" s="12" t="inlineStr">
        <is>
          <t>Waitlist and Enquiries</t>
        </is>
      </c>
      <c r="J111" s="12" t="inlineStr">
        <is>
          <t>Primary Workflow</t>
        </is>
      </c>
      <c r="K111" s="12" t="inlineStr">
        <is>
          <t>Reservation Manager</t>
        </is>
      </c>
      <c r="L111" s="12" t="inlineStr">
        <is>
          <t>As a Reservation Manager, I want to list, search, filter, view, create, edit, cancel/delete under policy, export in Waitlist and Enquiries, so that the waitlist &amp; enquiry process is completed accurately without duplicate or inconsistent records.</t>
        </is>
      </c>
      <c r="M111" s="12" t="inlineStr">
        <is>
          <t>Enable reservations users to manage waitlist &amp; enquiry through the Waitlist and Enquiries workflow with real-time status, validations and traceability.</t>
        </is>
      </c>
      <c r="N111" s="12" t="inlineStr">
        <is>
          <t>View access confirmed; required masters and linked records exist; Rooms, Rates, Guests, Payments services are available; approval limit is valid.</t>
        </is>
      </c>
      <c r="O11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waitlist and enquiries workflow; invalid or conflicting actions are blocked with clear messages; saved changes appear in related screens; sensitive changes are auditable.</t>
        </is>
      </c>
      <c r="P111" s="12" t="inlineStr">
        <is>
          <t>Duplicate submission is idempotent; stale data returns a refresh/conflict message; invalid status transitions are blocked; partial failure rolls back without orphan records.</t>
        </is>
      </c>
      <c r="Q111" s="12" t="inlineStr">
        <is>
          <t>Tenant/property scope; required fields; optimistic locking; timezone-safe dates; reason mandatory for overrides; availability and overlap check; status-transition rules; cancellation policy</t>
        </is>
      </c>
      <c r="R111" s="12" t="inlineStr">
        <is>
          <t>Rooms, Rates, Guests, Payments</t>
        </is>
      </c>
      <c r="S111" s="12" t="inlineStr">
        <is>
          <t>GET, POST, PUT/PATCH, DELETE /api/v1/waitlist-and-enquiries; lookup, validation and audit endpoints; idempotency for financial/booking writes; entities: reservations, reservation_guests, reservation_items, deposits</t>
        </is>
      </c>
      <c r="T111" s="12" t="inlineStr">
        <is>
          <t>Must Have</t>
        </is>
      </c>
      <c r="U111" s="12" t="inlineStr">
        <is>
          <t>MVP</t>
        </is>
      </c>
      <c r="V111" s="34" t="n">
        <v>8</v>
      </c>
      <c r="W111" s="12" t="inlineStr">
        <is>
          <t>S05-S07</t>
        </is>
      </c>
      <c r="X111" s="12" t="inlineStr">
        <is>
          <t>Done</t>
        </is>
      </c>
      <c r="Y111" s="13" t="n">
        <v>1</v>
      </c>
      <c r="Z111" s="12" t="n"/>
      <c r="AA111" s="12" t="inlineStr">
        <is>
          <t>TC-032-B</t>
        </is>
      </c>
      <c r="AB111" s="12" t="inlineStr">
        <is>
          <t>Approved screen design; story reviewed with Reservation Manager; dependencies, API contract, role permissions and test data identified.</t>
        </is>
      </c>
      <c r="AC111" s="12" t="inlineStr">
        <is>
          <t>Code reviewed; unit, API, UI, RBAC and integration tests pass; accessibility and responsive states verified; audit evidence captured; product owner accepts in staging.</t>
        </is>
      </c>
      <c r="AD111" s="12" t="inlineStr">
        <is>
          <t xml:space="preserve"> BUILT 2026-09-10. THE AVAILABILITY MATCH IS REAL, not a suggestion: it runs the same inventory arithmetic the booking screen uses, taking the MINIMUM sellable across the nights because a stay needs the same room every night. A night with no inventory row reads 'not on sale' rather than available. Rate falls back from the published rate calendar to the room type's base rate, the same precedence /reservations/{id}/detail uses, so a quoted price does not change between screens. CONVERT TO BOOKING creates a real reservation through create_hold + confirm_reservation - the same row-locked, constraint-guarded path New Reservation uses - so an enquiry cannot conjure a room that is not there; if inventory has gone the guest STAYS on the board with the shortage reported (409) rather than being marked converted against a booking that does not exist. The converted booking keeps the enquiry's channel and notes, so a phone enquiry does not become an anonymous 'direct' booking - this works because 0020 added reservations.source. BUGS FOUND AND FIXED DURING BUILD: (1) within_budget compared a PER-NIGHT rate against a WHOLE-STAY budget, which would have called a 19,500 stay 'over' a 30,000 budget - now compares stay_total and exposes both figures; (2) 'status IN :tuple' in text() does not expand - switched to = ANY(); (3) the ambiguous-parameter trap again, :s used both as a value and inside a CASE - fixed with an explicit CAST; (4) room_type_photos stores a storage_key not a url, so photos silently never rendered - now resolved through the existing photo_url helper rather than a second way of building the same link.</t>
        </is>
      </c>
    </row>
    <row r="112" ht="78" customHeight="1" s="43">
      <c r="A112" s="11" t="n">
        <v>1</v>
      </c>
      <c r="B112" s="11" t="n">
        <v>108</v>
      </c>
      <c r="C112" s="12" t="inlineStr">
        <is>
          <t>US-032-03</t>
        </is>
      </c>
      <c r="D112" s="12" t="inlineStr">
        <is>
          <t>Control permissions, overrides and audit for Waitlist and Enquiries</t>
        </is>
      </c>
      <c r="E112" s="12" t="inlineStr">
        <is>
          <t>EPIC-03</t>
        </is>
      </c>
      <c r="F112" s="12" t="inlineStr">
        <is>
          <t>Reservations</t>
        </is>
      </c>
      <c r="G112" s="12" t="inlineStr">
        <is>
          <t>Waitlist &amp; Enquiry</t>
        </is>
      </c>
      <c r="H112" s="11" t="inlineStr">
        <is>
          <t>SCR-032</t>
        </is>
      </c>
      <c r="I112" s="12" t="inlineStr">
        <is>
          <t>Waitlist and Enquiries</t>
        </is>
      </c>
      <c r="J112" s="12" t="inlineStr">
        <is>
          <t>Security / Exceptions</t>
        </is>
      </c>
      <c r="K112" s="12" t="inlineStr">
        <is>
          <t>Reservation Manager</t>
        </is>
      </c>
      <c r="L112" s="12" t="inlineStr">
        <is>
          <t>As a department supervisor or auditor, I want sensitive actions in Waitlist and Enquiries to follow permissions, approval limits and audit rules, so that resort operations remain secure, compliant and traceable.</t>
        </is>
      </c>
      <c r="M112" s="12" t="inlineStr">
        <is>
          <t>Reduces fraud, privacy leakage, unauthorized overrides and unresolved operational disputes.</t>
        </is>
      </c>
      <c r="N112" s="12" t="inlineStr">
        <is>
          <t>Roles, permissions, approval hierarchy and audit service are configured; allowed and denied test users exist.</t>
        </is>
      </c>
      <c r="O11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12" s="12" t="inlineStr">
        <is>
          <t>Tampered IDs, expired sessions, approval-limit violations and cross-tenant requests are rejected; secrets and sensitive guest/payment fields are never written to logs.</t>
        </is>
      </c>
      <c r="Q112" s="12" t="inlineStr">
        <is>
          <t>Tenant/property scope; required fields; optimistic locking; timezone-safe dates; reason mandatory for overrides; availability and overlap check; status-transition rules; cancellation policy</t>
        </is>
      </c>
      <c r="R112" s="12" t="inlineStr">
        <is>
          <t>Rooms, Rates, Guests, Payments</t>
        </is>
      </c>
      <c r="S112" s="12" t="inlineStr">
        <is>
          <t>GET, POST, PUT/PATCH, DELETE /api/v1/waitlist-and-enquiries; lookup, validation and audit endpoints; idempotency for financial/booking writes; entities: reservations, reservation_guests, reservation_items, deposits</t>
        </is>
      </c>
      <c r="T112" s="12" t="inlineStr">
        <is>
          <t>Must Have</t>
        </is>
      </c>
      <c r="U112" s="12" t="inlineStr">
        <is>
          <t>MVP</t>
        </is>
      </c>
      <c r="V112" s="34" t="n">
        <v>5</v>
      </c>
      <c r="W112" s="12" t="inlineStr">
        <is>
          <t>S05-S07</t>
        </is>
      </c>
      <c r="X112" s="12" t="inlineStr">
        <is>
          <t>Done</t>
        </is>
      </c>
      <c r="Y112" s="13" t="n">
        <v>1</v>
      </c>
      <c r="Z112" s="12" t="n"/>
      <c r="AA112" s="12" t="inlineStr">
        <is>
          <t>TC-032-C</t>
        </is>
      </c>
      <c r="AB112" s="12" t="inlineStr">
        <is>
          <t>Approved screen design; story reviewed with Reservation Manager; dependencies, API contract, role permissions and test data identified.</t>
        </is>
      </c>
      <c r="AC112" s="12" t="inlineStr">
        <is>
          <t>Code reviewed; unit, API, UI, RBAC and integration tests pass; accessibility and responsive states verified; audit evidence captured; product owner accepts in staging.</t>
        </is>
      </c>
      <c r="AD112" s="12" t="inlineStr">
        <is>
          <t xml:space="preserve"> 2026-09-10. Guarded on reservations.view/create/edit; New Enquiry and Book are rendered from server-evaluated grants. Every transition writes iam.audit_events. 'converted' CANNOT be set by hand - the move endpoint refuses it with a 422 pointing at Convert to Booking, and a check constraint enforces that converted implies a reservation id, so the rule lives in the database and not only in a code path. A converted enquiry cannot be moved back or edited. NOT BUILT AND STATED ON SCREEN: (a) SEND OFFER - there is no mail or messaging transport anywhere in this system; a button that marked an enquiry 'Offered' while sending nothing would put a lie in the audit trail, so the status can be moved by hand (recording that somebody made an offer) but nothing claims this system delivered one. (b) THE AI CONVERSION PROBABILITY ('78% likely' on the mockup) - there is no model and no history to build one from, and a real person would spend their afternoon based on that number. (c) The week-on-week trend deltas ARE computed from created_at, but return null until there are two weeks of history rather than printing a +0% that reads like flat demand. NOTE: my test runs created and then converted enquiries, which consumed real inventory; the four test bookings were removed and room_type_inventory_days counters restored exactly (Deluxe Sea View back to 3 sellable for 18-21 Sep, verified against the pre-test reading). One demo enquiry (Karan Malhotra) was left on the board deliberately; it holds no inventory.</t>
        </is>
      </c>
    </row>
    <row r="113" ht="78" customHeight="1" s="43">
      <c r="A113" s="11" t="n">
        <v>1</v>
      </c>
      <c r="B113" s="11" t="n">
        <v>109</v>
      </c>
      <c r="C113" s="12" t="inlineStr">
        <is>
          <t>US-051-01</t>
        </is>
      </c>
      <c r="D113" s="12" t="inlineStr">
        <is>
          <t>View and find information in No-Show Processing</t>
        </is>
      </c>
      <c r="E113" s="12" t="inlineStr">
        <is>
          <t>EPIC-03</t>
        </is>
      </c>
      <c r="F113" s="12" t="inlineStr">
        <is>
          <t>Reservations</t>
        </is>
      </c>
      <c r="G113" s="12" t="inlineStr">
        <is>
          <t>No-Show</t>
        </is>
      </c>
      <c r="H113" s="11" t="inlineStr">
        <is>
          <t>SCR-051</t>
        </is>
      </c>
      <c r="I113" s="12" t="inlineStr">
        <is>
          <t>No-Show Processing</t>
        </is>
      </c>
      <c r="J113" s="12" t="inlineStr">
        <is>
          <t>View / Search</t>
        </is>
      </c>
      <c r="K113" s="12" t="inlineStr">
        <is>
          <t>Reservation Manager</t>
        </is>
      </c>
      <c r="L113" s="12" t="inlineStr">
        <is>
          <t>As a Reservation Manager, I want to open No-Show Processing and find relevant records using search, filters and sorting, so that I can make accurate operational decisions.</t>
        </is>
      </c>
      <c r="M113" s="12" t="inlineStr">
        <is>
          <t>Provides timely visibility for no-show and reduces manual lookup effort.</t>
        </is>
      </c>
      <c r="N113" s="12" t="inlineStr">
        <is>
          <t>Authenticated user; active property; view permission for Reservations; Rooms, Rates, Guests, Payments data available.</t>
        </is>
      </c>
      <c r="O113" s="12" t="inlineStr">
        <is>
          <t>Given I am authenticated as Reservation Manager with access to the selected property, when I open No-Show Processing,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13" s="12" t="inlineStr">
        <is>
          <t>Cross-property data never appears; unauthorized fields are masked; invalid filters do not break the screen; unavailable services return a controlled message.</t>
        </is>
      </c>
      <c r="Q113" s="12" t="inlineStr">
        <is>
          <t>Tenant/property scope; required fields; optimistic locking; timezone-safe dates; reason mandatory for overrides; availability and overlap check; status-transition rules; cancellation policy</t>
        </is>
      </c>
      <c r="R113" s="12" t="inlineStr">
        <is>
          <t>Rooms, Rates, Guests, Payments</t>
        </is>
      </c>
      <c r="S113" s="12" t="inlineStr">
        <is>
          <t>GET, POST/PATCH /api/v1/no-show-processing; lookup, validation and audit endpoints; idempotency for financial/booking writes; entities: reservations, reservation_guests, reservation_items, deposits</t>
        </is>
      </c>
      <c r="T113" s="12" t="inlineStr">
        <is>
          <t>Must Have</t>
        </is>
      </c>
      <c r="U113" s="12" t="inlineStr">
        <is>
          <t>MVP</t>
        </is>
      </c>
      <c r="V113" s="34" t="n">
        <v>3</v>
      </c>
      <c r="W113" s="12" t="inlineStr">
        <is>
          <t>S05-S07</t>
        </is>
      </c>
      <c r="X113" s="12" t="inlineStr">
        <is>
          <t>Done</t>
        </is>
      </c>
      <c r="Y113" s="13" t="n">
        <v>1</v>
      </c>
      <c r="Z113" s="12" t="n"/>
      <c r="AA113" s="12" t="inlineStr">
        <is>
          <t>TC-051-A</t>
        </is>
      </c>
      <c r="AB113" s="12" t="inlineStr">
        <is>
          <t>Approved screen design; story reviewed with Reservation Manager; dependencies, API contract, role permissions and test data identified.</t>
        </is>
      </c>
      <c r="AC113" s="12" t="inlineStr">
        <is>
          <t>Code reviewed; unit, API, UI, RBAC and integration tests pass; accessibility and responsive states verified; audit evidence captured; product owner accepts in staging.</t>
        </is>
      </c>
      <c r="AD113" s="12" t="inlineStr">
        <is>
          <t>No-show Processing (mockup 051) at /reservations/no-show, with the per-arrival screen at /reservations/no-show/{unitId} and a No-show action on the Front Desk Arrivals row where a missed arrival is actually noticed. GET /no-show-candidates lists arrivals due on or before today that are still 'reserved', with days overdue, stay value and amount paid. The detail screen carries the mockup's panels: Stay &amp; Financial Summary, No-show Penalty Calculation, Room Release &amp; Inventory, Refund / Deposit Handling, Reason &amp; Notes. Closes a hole this session created: Arrivals deliberately keeps anyone who never checked in, so without this the list only grew. Verified in Chrome on CBR39535923.</t>
        </is>
      </c>
    </row>
    <row r="114" ht="78" customHeight="1" s="43">
      <c r="A114" s="11" t="n">
        <v>1</v>
      </c>
      <c r="B114" s="11" t="n">
        <v>110</v>
      </c>
      <c r="C114" s="12" t="inlineStr">
        <is>
          <t>US-051-02</t>
        </is>
      </c>
      <c r="D114" s="12" t="inlineStr">
        <is>
          <t>Complete the primary No-Show Processing workflow</t>
        </is>
      </c>
      <c r="E114" s="12" t="inlineStr">
        <is>
          <t>EPIC-03</t>
        </is>
      </c>
      <c r="F114" s="12" t="inlineStr">
        <is>
          <t>Reservations</t>
        </is>
      </c>
      <c r="G114" s="12" t="inlineStr">
        <is>
          <t>No-Show</t>
        </is>
      </c>
      <c r="H114" s="11" t="inlineStr">
        <is>
          <t>SCR-051</t>
        </is>
      </c>
      <c r="I114" s="12" t="inlineStr">
        <is>
          <t>No-Show Processing</t>
        </is>
      </c>
      <c r="J114" s="12" t="inlineStr">
        <is>
          <t>Primary Workflow</t>
        </is>
      </c>
      <c r="K114" s="12" t="inlineStr">
        <is>
          <t>Reservation Manager</t>
        </is>
      </c>
      <c r="L114" s="12" t="inlineStr">
        <is>
          <t>As a Reservation Manager, I want to search, view, validate, process, reverse with approval in No-Show Processing, so that the no-show process is completed accurately without duplicate or inconsistent records.</t>
        </is>
      </c>
      <c r="M114" s="12" t="inlineStr">
        <is>
          <t>Enable reservations users to manage no-show through the No-Show Processing workflow with real-time status, validations and traceability.</t>
        </is>
      </c>
      <c r="N114" s="12" t="inlineStr">
        <is>
          <t>View access confirmed; required masters and linked records exist; Rooms, Rates, Guests, Payments services are available; approval limit is valid.</t>
        </is>
      </c>
      <c r="O11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no-show processing workflow; invalid or conflicting actions are blocked with clear messages; saved changes appear in related screens; sensitive changes are auditable.</t>
        </is>
      </c>
      <c r="P114" s="12" t="inlineStr">
        <is>
          <t>Duplicate submission is idempotent; stale data returns a refresh/conflict message; invalid status transitions are blocked; partial failure rolls back without orphan records.</t>
        </is>
      </c>
      <c r="Q114" s="12" t="inlineStr">
        <is>
          <t>Tenant/property scope; required fields; optimistic locking; timezone-safe dates; reason mandatory for overrides; availability and overlap check; status-transition rules; cancellation policy</t>
        </is>
      </c>
      <c r="R114" s="12" t="inlineStr">
        <is>
          <t>Rooms, Rates, Guests, Payments</t>
        </is>
      </c>
      <c r="S114" s="12" t="inlineStr">
        <is>
          <t>GET, POST/PATCH /api/v1/no-show-processing; lookup, validation and audit endpoints; idempotency for financial/booking writes; entities: reservations, reservation_guests, reservation_items, deposits</t>
        </is>
      </c>
      <c r="T114" s="12" t="inlineStr">
        <is>
          <t>Must Have</t>
        </is>
      </c>
      <c r="U114" s="12" t="inlineStr">
        <is>
          <t>MVP</t>
        </is>
      </c>
      <c r="V114" s="34" t="n">
        <v>8</v>
      </c>
      <c r="W114" s="12" t="inlineStr">
        <is>
          <t>S05-S07</t>
        </is>
      </c>
      <c r="X114" s="12" t="inlineStr">
        <is>
          <t>Done</t>
        </is>
      </c>
      <c r="Y114" s="13" t="n">
        <v>1</v>
      </c>
      <c r="Z114" s="12" t="n"/>
      <c r="AA114" s="12" t="inlineStr">
        <is>
          <t>TC-051-B</t>
        </is>
      </c>
      <c r="AB114" s="12" t="inlineStr">
        <is>
          <t>Approved screen design; story reviewed with Reservation Manager; dependencies, API contract, role permissions and test data identified.</t>
        </is>
      </c>
      <c r="AC114" s="12" t="inlineStr">
        <is>
          <t>Code reviewed; unit, API, UI, RBAC and integration tests pass; accessibility and responsive states verified; audit evidence captured; product owner accepts in staging.</t>
        </is>
      </c>
      <c r="AD114" s="12" t="inlineStr">
        <is>
          <t>Primary workflow: POST /reservation-units/{id}/no-show charges the penalty, releases the room and the nights, and moves the unit to 'no_show' - a status the schema has always allowed and nothing had ever set. A no-show is NOT a cancellation: the guest did not call it off, and the difference matters to the penalty and to any later question about why a room sat empty. Penalty bases are 1 Night Room + Tax / 1 Night Room / Full Stay / No Penalty, priced from the property's cancellation policy; the tax is read from finance.tax_rules using the same rule tax_engine applies to a folio (one default tax group plus every stacking levy), so the figure here and the figure on the guest's bill are the same figure. Deposit handling offers retain-as-penalty / refund-in-full / retain-in-full with a live refund preview. When every unit is closed the reservation moves to completed. Verified: Anil Kapoor penalty Rs 6,895 posted as no_show_penalty Rs 6,500 + no_show_penalty_tax Rs 395 (26,000 x 5% + Rs 20 + Rs 50 per night = Rs 1,580 for the full stay), 4 nights returned to inventory, room released, refund of Rs 3,105 flagged.</t>
        </is>
      </c>
    </row>
    <row r="115" ht="78" customHeight="1" s="43">
      <c r="A115" s="11" t="n">
        <v>1</v>
      </c>
      <c r="B115" s="11" t="n">
        <v>111</v>
      </c>
      <c r="C115" s="12" t="inlineStr">
        <is>
          <t>US-051-03</t>
        </is>
      </c>
      <c r="D115" s="12" t="inlineStr">
        <is>
          <t>Control permissions, overrides and audit for No-Show Processing</t>
        </is>
      </c>
      <c r="E115" s="12" t="inlineStr">
        <is>
          <t>EPIC-03</t>
        </is>
      </c>
      <c r="F115" s="12" t="inlineStr">
        <is>
          <t>Reservations</t>
        </is>
      </c>
      <c r="G115" s="12" t="inlineStr">
        <is>
          <t>No-Show</t>
        </is>
      </c>
      <c r="H115" s="11" t="inlineStr">
        <is>
          <t>SCR-051</t>
        </is>
      </c>
      <c r="I115" s="12" t="inlineStr">
        <is>
          <t>No-Show Processing</t>
        </is>
      </c>
      <c r="J115" s="12" t="inlineStr">
        <is>
          <t>Security / Exceptions</t>
        </is>
      </c>
      <c r="K115" s="12" t="inlineStr">
        <is>
          <t>Reservation Manager</t>
        </is>
      </c>
      <c r="L115" s="12" t="inlineStr">
        <is>
          <t>As a department supervisor or auditor, I want sensitive actions in No-Show Processing to follow permissions, approval limits and audit rules, so that resort operations remain secure, compliant and traceable.</t>
        </is>
      </c>
      <c r="M115" s="12" t="inlineStr">
        <is>
          <t>Reduces fraud, privacy leakage, unauthorized overrides and unresolved operational disputes.</t>
        </is>
      </c>
      <c r="N115" s="12" t="inlineStr">
        <is>
          <t>Roles, permissions, approval hierarchy and audit service are configured; allowed and denied test users exist.</t>
        </is>
      </c>
      <c r="O11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15" s="12" t="inlineStr">
        <is>
          <t>Tampered IDs, expired sessions, approval-limit violations and cross-tenant requests are rejected; secrets and sensitive guest/payment fields are never written to logs.</t>
        </is>
      </c>
      <c r="Q115" s="12" t="inlineStr">
        <is>
          <t>Tenant/property scope; required fields; optimistic locking; timezone-safe dates; reason mandatory for overrides; availability and overlap check; status-transition rules; cancellation policy</t>
        </is>
      </c>
      <c r="R115" s="12" t="inlineStr">
        <is>
          <t>Rooms, Rates, Guests, Payments</t>
        </is>
      </c>
      <c r="S115" s="12" t="inlineStr">
        <is>
          <t>GET, POST/PATCH /api/v1/no-show-processing; lookup, validation and audit endpoints; idempotency for financial/booking writes; entities: reservations, reservation_guests, reservation_items, deposits</t>
        </is>
      </c>
      <c r="T115" s="12" t="inlineStr">
        <is>
          <t>Must Have</t>
        </is>
      </c>
      <c r="U115" s="12" t="inlineStr">
        <is>
          <t>MVP</t>
        </is>
      </c>
      <c r="V115" s="34" t="n">
        <v>5</v>
      </c>
      <c r="W115" s="12" t="inlineStr">
        <is>
          <t>S05-S07</t>
        </is>
      </c>
      <c r="X115" s="12" t="inlineStr">
        <is>
          <t>Done</t>
        </is>
      </c>
      <c r="Y115" s="13" t="n">
        <v>1</v>
      </c>
      <c r="Z115" s="12" t="n"/>
      <c r="AA115" s="12" t="inlineStr">
        <is>
          <t>TC-051-C</t>
        </is>
      </c>
      <c r="AB115" s="12" t="inlineStr">
        <is>
          <t>Approved screen design; story reviewed with Reservation Manager; dependencies, API contract, role permissions and test data identified.</t>
        </is>
      </c>
      <c r="AC115" s="12" t="inlineStr">
        <is>
          <t>Code reviewed; unit, API, UI, RBAC and integration tests pass; accessibility and responsive states verified; audit evidence captured; product owner accepts in staging.</t>
        </is>
      </c>
      <c r="AD115" s="12" t="inlineStr">
        <is>
          <t>Security/exceptions: RBAC reservations.view / edit deny-by-default; 'No Penalty' is a WAIVER so it is hidden from anyone without reservations.approve and rejected with 403 if sent anyway. Verified: marking a no-show twice -&gt; 422; a guest not yet due -&gt; 422 naming the arrival date; a checked-in guest -&gt; 422 'they did arrive'; a cancelled or checked-out unit -&gt; 422. Marking a no-show does NOT move money back - any refund is estimated, flagged in the response and processed from the folio. Append-only audit reservation_unit.no_show with the basis, penalty, refund and whether the room was released.</t>
        </is>
      </c>
    </row>
    <row r="116" ht="78" customHeight="1" s="43">
      <c r="A116" s="11" t="n">
        <v>1</v>
      </c>
      <c r="B116" s="11" t="n">
        <v>112</v>
      </c>
      <c r="C116" s="12" t="inlineStr">
        <is>
          <t>US-052-01</t>
        </is>
      </c>
      <c r="D116" s="12" t="inlineStr">
        <is>
          <t>View and find information in Duplicate Reservation</t>
        </is>
      </c>
      <c r="E116" s="12" t="inlineStr">
        <is>
          <t>EPIC-03</t>
        </is>
      </c>
      <c r="F116" s="12" t="inlineStr">
        <is>
          <t>Reservations</t>
        </is>
      </c>
      <c r="G116" s="12" t="inlineStr">
        <is>
          <t>Data Quality</t>
        </is>
      </c>
      <c r="H116" s="11" t="inlineStr">
        <is>
          <t>SCR-052</t>
        </is>
      </c>
      <c r="I116" s="12" t="inlineStr">
        <is>
          <t>Duplicate Reservation</t>
        </is>
      </c>
      <c r="J116" s="12" t="inlineStr">
        <is>
          <t>View / Search</t>
        </is>
      </c>
      <c r="K116" s="12" t="inlineStr">
        <is>
          <t>Reservation Manager</t>
        </is>
      </c>
      <c r="L116" s="12" t="inlineStr">
        <is>
          <t>As a Reservation Manager, I want to open Duplicate Reservation and find relevant records using search, filters and sorting, so that I can make accurate operational decisions.</t>
        </is>
      </c>
      <c r="M116" s="12" t="inlineStr">
        <is>
          <t>Provides timely visibility for data quality and reduces manual lookup effort.</t>
        </is>
      </c>
      <c r="N116" s="12" t="inlineStr">
        <is>
          <t>Authenticated user; active property; view permission for Reservations; Rooms, Rates, Guests, Payments data available.</t>
        </is>
      </c>
      <c r="O116" s="12" t="inlineStr">
        <is>
          <t>Given I am authenticated as Reservation Manager with access to the selected property, when I open Duplicate Reservation,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16" s="12" t="inlineStr">
        <is>
          <t>Cross-property data never appears; unauthorized fields are masked; invalid filters do not break the screen; unavailable services return a controlled message.</t>
        </is>
      </c>
      <c r="Q116" s="12" t="inlineStr">
        <is>
          <t>Tenant/property scope; required fields; optimistic locking; timezone-safe dates; reason mandatory for overrides; availability and overlap check; status-transition rules; cancellation policy</t>
        </is>
      </c>
      <c r="R116" s="12" t="inlineStr">
        <is>
          <t>Rooms, Rates, Guests, Payments</t>
        </is>
      </c>
      <c r="S116" s="12" t="inlineStr">
        <is>
          <t>GET, POST, PUT/PATCH, DELETE /api/v1/duplicate-reservation; lookup, validation and audit endpoints; idempotency for financial/booking writes; entities: reservations, reservation_guests, reservation_items, deposits</t>
        </is>
      </c>
      <c r="T116" s="12" t="inlineStr">
        <is>
          <t>Must Have</t>
        </is>
      </c>
      <c r="U116" s="12" t="inlineStr">
        <is>
          <t>MVP</t>
        </is>
      </c>
      <c r="V116" s="34" t="n">
        <v>3</v>
      </c>
      <c r="W116" s="12" t="inlineStr">
        <is>
          <t>S05-S07</t>
        </is>
      </c>
      <c r="X116" s="12" t="inlineStr">
        <is>
          <t>Backlog</t>
        </is>
      </c>
      <c r="Y116" s="13">
        <f>IF(X116="Done",1,IF(X116="QA",0.9,IF(X116="Code Review",0.75,IF(X116="In Development",0.5,IF(X116="Ready",0.1,0)))))</f>
        <v/>
      </c>
      <c r="Z116" s="12" t="n"/>
      <c r="AA116" s="12" t="inlineStr">
        <is>
          <t>TC-052-A</t>
        </is>
      </c>
      <c r="AB116" s="12" t="inlineStr">
        <is>
          <t>Approved screen design; story reviewed with Reservation Manager; dependencies, API contract, role permissions and test data identified.</t>
        </is>
      </c>
      <c r="AC116" s="12" t="inlineStr">
        <is>
          <t>Code reviewed; unit, API, UI, RBAC and integration tests pass; accessibility and responsive states verified; audit evidence captured; product owner accepts in staging.</t>
        </is>
      </c>
      <c r="AD116" s="12" t="n"/>
    </row>
    <row r="117" ht="78" customHeight="1" s="43">
      <c r="A117" s="11" t="n">
        <v>1</v>
      </c>
      <c r="B117" s="11" t="n">
        <v>113</v>
      </c>
      <c r="C117" s="12" t="inlineStr">
        <is>
          <t>US-052-02</t>
        </is>
      </c>
      <c r="D117" s="12" t="inlineStr">
        <is>
          <t>Complete the primary Duplicate Reservation workflow</t>
        </is>
      </c>
      <c r="E117" s="12" t="inlineStr">
        <is>
          <t>EPIC-03</t>
        </is>
      </c>
      <c r="F117" s="12" t="inlineStr">
        <is>
          <t>Reservations</t>
        </is>
      </c>
      <c r="G117" s="12" t="inlineStr">
        <is>
          <t>Data Quality</t>
        </is>
      </c>
      <c r="H117" s="11" t="inlineStr">
        <is>
          <t>SCR-052</t>
        </is>
      </c>
      <c r="I117" s="12" t="inlineStr">
        <is>
          <t>Duplicate Reservation</t>
        </is>
      </c>
      <c r="J117" s="12" t="inlineStr">
        <is>
          <t>Primary Workflow</t>
        </is>
      </c>
      <c r="K117" s="12" t="inlineStr">
        <is>
          <t>Reservation Manager</t>
        </is>
      </c>
      <c r="L117" s="12" t="inlineStr">
        <is>
          <t>As a Reservation Manager, I want to list, search, filter, view, create, edit, cancel/delete under policy, export in Duplicate Reservation, so that the data quality process is completed accurately without duplicate or inconsistent records.</t>
        </is>
      </c>
      <c r="M117" s="12" t="inlineStr">
        <is>
          <t>Enable reservations users to manage data quality through the Duplicate Reservation workflow with real-time status, validations and traceability.</t>
        </is>
      </c>
      <c r="N117" s="12" t="inlineStr">
        <is>
          <t>View access confirmed; required masters and linked records exist; Rooms, Rates, Guests, Payments services are available; approval limit is valid.</t>
        </is>
      </c>
      <c r="O11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duplicate reservation workflow; invalid or conflicting actions are blocked with clear messages; saved changes appear in related screens; sensitive changes are auditable.</t>
        </is>
      </c>
      <c r="P117" s="12" t="inlineStr">
        <is>
          <t>Duplicate submission is idempotent; stale data returns a refresh/conflict message; invalid status transitions are blocked; partial failure rolls back without orphan records.</t>
        </is>
      </c>
      <c r="Q117" s="12" t="inlineStr">
        <is>
          <t>Tenant/property scope; required fields; optimistic locking; timezone-safe dates; reason mandatory for overrides; availability and overlap check; status-transition rules; cancellation policy</t>
        </is>
      </c>
      <c r="R117" s="12" t="inlineStr">
        <is>
          <t>Rooms, Rates, Guests, Payments</t>
        </is>
      </c>
      <c r="S117" s="12" t="inlineStr">
        <is>
          <t>GET, POST, PUT/PATCH, DELETE /api/v1/duplicate-reservation; lookup, validation and audit endpoints; idempotency for financial/booking writes; entities: reservations, reservation_guests, reservation_items, deposits</t>
        </is>
      </c>
      <c r="T117" s="12" t="inlineStr">
        <is>
          <t>Must Have</t>
        </is>
      </c>
      <c r="U117" s="12" t="inlineStr">
        <is>
          <t>MVP</t>
        </is>
      </c>
      <c r="V117" s="34" t="n">
        <v>8</v>
      </c>
      <c r="W117" s="12" t="inlineStr">
        <is>
          <t>S05-S07</t>
        </is>
      </c>
      <c r="X117" s="12" t="inlineStr">
        <is>
          <t>Backlog</t>
        </is>
      </c>
      <c r="Y117" s="13">
        <f>IF(X117="Done",1,IF(X117="QA",0.9,IF(X117="Code Review",0.75,IF(X117="In Development",0.5,IF(X117="Ready",0.1,0)))))</f>
        <v/>
      </c>
      <c r="Z117" s="12" t="n"/>
      <c r="AA117" s="12" t="inlineStr">
        <is>
          <t>TC-052-B</t>
        </is>
      </c>
      <c r="AB117" s="12" t="inlineStr">
        <is>
          <t>Approved screen design; story reviewed with Reservation Manager; dependencies, API contract, role permissions and test data identified.</t>
        </is>
      </c>
      <c r="AC117" s="12" t="inlineStr">
        <is>
          <t>Code reviewed; unit, API, UI, RBAC and integration tests pass; accessibility and responsive states verified; audit evidence captured; product owner accepts in staging.</t>
        </is>
      </c>
      <c r="AD117" s="12" t="n"/>
    </row>
    <row r="118" ht="78" customHeight="1" s="43">
      <c r="A118" s="11" t="n">
        <v>1</v>
      </c>
      <c r="B118" s="11" t="n">
        <v>114</v>
      </c>
      <c r="C118" s="12" t="inlineStr">
        <is>
          <t>US-052-03</t>
        </is>
      </c>
      <c r="D118" s="12" t="inlineStr">
        <is>
          <t>Control permissions, overrides and audit for Duplicate Reservation</t>
        </is>
      </c>
      <c r="E118" s="12" t="inlineStr">
        <is>
          <t>EPIC-03</t>
        </is>
      </c>
      <c r="F118" s="12" t="inlineStr">
        <is>
          <t>Reservations</t>
        </is>
      </c>
      <c r="G118" s="12" t="inlineStr">
        <is>
          <t>Data Quality</t>
        </is>
      </c>
      <c r="H118" s="11" t="inlineStr">
        <is>
          <t>SCR-052</t>
        </is>
      </c>
      <c r="I118" s="12" t="inlineStr">
        <is>
          <t>Duplicate Reservation</t>
        </is>
      </c>
      <c r="J118" s="12" t="inlineStr">
        <is>
          <t>Security / Exceptions</t>
        </is>
      </c>
      <c r="K118" s="12" t="inlineStr">
        <is>
          <t>Reservation Manager</t>
        </is>
      </c>
      <c r="L118" s="12" t="inlineStr">
        <is>
          <t>As a department supervisor or auditor, I want sensitive actions in Duplicate Reservation to follow permissions, approval limits and audit rules, so that resort operations remain secure, compliant and traceable.</t>
        </is>
      </c>
      <c r="M118" s="12" t="inlineStr">
        <is>
          <t>Reduces fraud, privacy leakage, unauthorized overrides and unresolved operational disputes.</t>
        </is>
      </c>
      <c r="N118" s="12" t="inlineStr">
        <is>
          <t>Roles, permissions, approval hierarchy and audit service are configured; allowed and denied test users exist.</t>
        </is>
      </c>
      <c r="O11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18" s="12" t="inlineStr">
        <is>
          <t>Tampered IDs, expired sessions, approval-limit violations and cross-tenant requests are rejected; secrets and sensitive guest/payment fields are never written to logs.</t>
        </is>
      </c>
      <c r="Q118" s="12" t="inlineStr">
        <is>
          <t>Tenant/property scope; required fields; optimistic locking; timezone-safe dates; reason mandatory for overrides; availability and overlap check; status-transition rules; cancellation policy</t>
        </is>
      </c>
      <c r="R118" s="12" t="inlineStr">
        <is>
          <t>Rooms, Rates, Guests, Payments</t>
        </is>
      </c>
      <c r="S118" s="12" t="inlineStr">
        <is>
          <t>GET, POST, PUT/PATCH, DELETE /api/v1/duplicate-reservation; lookup, validation and audit endpoints; idempotency for financial/booking writes; entities: reservations, reservation_guests, reservation_items, deposits</t>
        </is>
      </c>
      <c r="T118" s="12" t="inlineStr">
        <is>
          <t>Must Have</t>
        </is>
      </c>
      <c r="U118" s="12" t="inlineStr">
        <is>
          <t>MVP</t>
        </is>
      </c>
      <c r="V118" s="34" t="n">
        <v>5</v>
      </c>
      <c r="W118" s="12" t="inlineStr">
        <is>
          <t>S05-S07</t>
        </is>
      </c>
      <c r="X118" s="12" t="inlineStr">
        <is>
          <t>Backlog</t>
        </is>
      </c>
      <c r="Y118" s="13">
        <f>IF(X118="Done",1,IF(X118="QA",0.9,IF(X118="Code Review",0.75,IF(X118="In Development",0.5,IF(X118="Ready",0.1,0)))))</f>
        <v/>
      </c>
      <c r="Z118" s="12" t="n"/>
      <c r="AA118" s="12" t="inlineStr">
        <is>
          <t>TC-052-C</t>
        </is>
      </c>
      <c r="AB118" s="12" t="inlineStr">
        <is>
          <t>Approved screen design; story reviewed with Reservation Manager; dependencies, API contract, role permissions and test data identified.</t>
        </is>
      </c>
      <c r="AC118" s="12" t="inlineStr">
        <is>
          <t>Code reviewed; unit, API, UI, RBAC and integration tests pass; accessibility and responsive states verified; audit evidence captured; product owner accepts in staging.</t>
        </is>
      </c>
      <c r="AD118" s="12" t="n"/>
    </row>
    <row r="119" ht="78" customHeight="1" s="43">
      <c r="A119" s="11" t="n">
        <v>1</v>
      </c>
      <c r="B119" s="11" t="n">
        <v>115</v>
      </c>
      <c r="C119" s="12" t="inlineStr">
        <is>
          <t>US-053-01</t>
        </is>
      </c>
      <c r="D119" s="12" t="inlineStr">
        <is>
          <t>View and find information in Room Move and Upgrade</t>
        </is>
      </c>
      <c r="E119" s="12" t="inlineStr">
        <is>
          <t>EPIC-02</t>
        </is>
      </c>
      <c r="F119" s="12" t="inlineStr">
        <is>
          <t>Front Desk</t>
        </is>
      </c>
      <c r="G119" s="12" t="inlineStr">
        <is>
          <t>In-Stay Movement</t>
        </is>
      </c>
      <c r="H119" s="11" t="inlineStr">
        <is>
          <t>SCR-053</t>
        </is>
      </c>
      <c r="I119" s="12" t="inlineStr">
        <is>
          <t>Room Move and Upgrade</t>
        </is>
      </c>
      <c r="J119" s="12" t="inlineStr">
        <is>
          <t>View / Search</t>
        </is>
      </c>
      <c r="K119" s="12" t="inlineStr">
        <is>
          <t>Front Office Manager</t>
        </is>
      </c>
      <c r="L119" s="12" t="inlineStr">
        <is>
          <t>As a Front Office Manager, I want to open Room Move and Upgrade and find relevant records using search, filters and sorting, so that I can make accurate operational decisions.</t>
        </is>
      </c>
      <c r="M119" s="12" t="inlineStr">
        <is>
          <t>Provides timely visibility for in-stay movement and reduces manual lookup effort.</t>
        </is>
      </c>
      <c r="N119" s="12" t="inlineStr">
        <is>
          <t>Authenticated user; active property; view permission for Front Desk; Reservations, Rooms, Finance data available.</t>
        </is>
      </c>
      <c r="O119" s="12" t="inlineStr">
        <is>
          <t>Given I am authenticated as Front Office Manager with access to the selected property, when I open Room Move and Upgrade,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19" s="12" t="inlineStr">
        <is>
          <t>Cross-property data never appears; unauthorized fields are masked; invalid filters do not break the screen; unavailable services return a controlled message.</t>
        </is>
      </c>
      <c r="Q119" s="12" t="inlineStr">
        <is>
          <t>Tenant/property scope; required fields; optimistic locking; timezone-safe dates; reason mandatory for overrides; availability and overlap check; status-transition rules; cancellation policy</t>
        </is>
      </c>
      <c r="R119" s="12" t="inlineStr">
        <is>
          <t>Reservations, Rooms, Finance</t>
        </is>
      </c>
      <c r="S119" s="12" t="inlineStr">
        <is>
          <t>GET, POST, PUT/PATCH, DELETE /api/v1/room-move-and-upgrade; lookup, validation and audit endpoints; idempotency for financial/booking writes; entities: stays, room_assignments, folios, keys</t>
        </is>
      </c>
      <c r="T119" s="12" t="inlineStr">
        <is>
          <t>Must Have</t>
        </is>
      </c>
      <c r="U119" s="12" t="inlineStr">
        <is>
          <t>MVP</t>
        </is>
      </c>
      <c r="V119" s="34" t="n">
        <v>3</v>
      </c>
      <c r="W119" s="12" t="inlineStr">
        <is>
          <t>S05-S07</t>
        </is>
      </c>
      <c r="X119" s="12" t="inlineStr">
        <is>
          <t>Done</t>
        </is>
      </c>
      <c r="Y119" s="13" t="n">
        <v>1</v>
      </c>
      <c r="Z119" s="12" t="n"/>
      <c r="AA119" s="12" t="inlineStr">
        <is>
          <t>TC-053-A</t>
        </is>
      </c>
      <c r="AB119" s="12" t="inlineStr">
        <is>
          <t>Approved screen design; story reviewed with Front Office Manager; dependencies, API contract, role permissions and test data identified.</t>
        </is>
      </c>
      <c r="AC119" s="12" t="inlineStr">
        <is>
          <t>Code reviewed; unit, API, UI, RBAC and integration tests pass; accessibility and responsive states verified; audit evidence captured; product owner accepts in staging.</t>
        </is>
      </c>
      <c r="AD119" s="12" t="inlineStr">
        <is>
          <t>Room Move and Upgrade (mockup 053) at /front-desk/room-move/{unitId}, reached from the Departures row and from the check-in screen (which previously dead-ended by refusing a re-assignment and pointing at a screen that did not exist). GET /reservation-units/{id}/room-move-view returns the guest with phone/email, current stay, current room card and stay balance; GET .../move-candidates returns room cards - photo, type, bed, view, floor - for rooms free for EVERY remaining night, with a readiness badge read from operations.room_condition (Ready / Being cleaned / Needs cleaning) rather than the mockup's uncomputable 'Due in 1 hr'; GET .../move-quote prices the move before anyone commits. Layout follows the mockup: Current Room (Move From) beside Replacement Room (Move To / Upgrade) with Room Type / Effective Date / Time filters, then Move-Upgrade Details and Rate Difference (Per Night). Verified in Chrome on Meera Krishnan: 13 free rooms, room 101 correctly badged Needs cleaning, rate panel showing current vs new rate, nights applicable and total.</t>
        </is>
      </c>
    </row>
    <row r="120" ht="78" customHeight="1" s="43">
      <c r="A120" s="11" t="n">
        <v>1</v>
      </c>
      <c r="B120" s="11" t="n">
        <v>116</v>
      </c>
      <c r="C120" s="12" t="inlineStr">
        <is>
          <t>US-053-02</t>
        </is>
      </c>
      <c r="D120" s="12" t="inlineStr">
        <is>
          <t>Complete the primary Room Move and Upgrade workflow</t>
        </is>
      </c>
      <c r="E120" s="12" t="inlineStr">
        <is>
          <t>EPIC-02</t>
        </is>
      </c>
      <c r="F120" s="12" t="inlineStr">
        <is>
          <t>Front Desk</t>
        </is>
      </c>
      <c r="G120" s="12" t="inlineStr">
        <is>
          <t>In-Stay Movement</t>
        </is>
      </c>
      <c r="H120" s="11" t="inlineStr">
        <is>
          <t>SCR-053</t>
        </is>
      </c>
      <c r="I120" s="12" t="inlineStr">
        <is>
          <t>Room Move and Upgrade</t>
        </is>
      </c>
      <c r="J120" s="12" t="inlineStr">
        <is>
          <t>Primary Workflow</t>
        </is>
      </c>
      <c r="K120" s="12" t="inlineStr">
        <is>
          <t>Front Office Manager</t>
        </is>
      </c>
      <c r="L120" s="12" t="inlineStr">
        <is>
          <t>As a Front Office Manager, I want to list, search, filter, view, create, edit, cancel/delete under policy, export in Room Move and Upgrade, so that the in-stay movement process is completed accurately without duplicate or inconsistent records.</t>
        </is>
      </c>
      <c r="M120" s="12" t="inlineStr">
        <is>
          <t>Enable front desk users to manage in-stay movement through the Room Move and Upgrade workflow with real-time status, validations and traceability.</t>
        </is>
      </c>
      <c r="N120" s="12" t="inlineStr">
        <is>
          <t>View access confirmed; required masters and linked records exist; Reservations, Rooms, Finance services are available; approval limit is valid.</t>
        </is>
      </c>
      <c r="O12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room move and upgrade workflow; invalid or conflicting actions are blocked with clear messages; saved changes appear in related screens; sensitive changes are auditable.</t>
        </is>
      </c>
      <c r="P120" s="12" t="inlineStr">
        <is>
          <t>Duplicate submission is idempotent; stale data returns a refresh/conflict message; invalid status transitions are blocked; partial failure rolls back without orphan records.</t>
        </is>
      </c>
      <c r="Q120" s="12" t="inlineStr">
        <is>
          <t>Tenant/property scope; required fields; optimistic locking; timezone-safe dates; reason mandatory for overrides; availability and overlap check; status-transition rules; cancellation policy</t>
        </is>
      </c>
      <c r="R120" s="12" t="inlineStr">
        <is>
          <t>Reservations, Rooms, Finance</t>
        </is>
      </c>
      <c r="S120" s="12" t="inlineStr">
        <is>
          <t>GET, POST, PUT/PATCH, DELETE /api/v1/room-move-and-upgrade; lookup, validation and audit endpoints; idempotency for financial/booking writes; entities: stays, room_assignments, folios, keys</t>
        </is>
      </c>
      <c r="T120" s="12" t="inlineStr">
        <is>
          <t>Must Have</t>
        </is>
      </c>
      <c r="U120" s="12" t="inlineStr">
        <is>
          <t>MVP</t>
        </is>
      </c>
      <c r="V120" s="34" t="n">
        <v>8</v>
      </c>
      <c r="W120" s="12" t="inlineStr">
        <is>
          <t>S05-S07</t>
        </is>
      </c>
      <c r="X120" s="12" t="inlineStr">
        <is>
          <t>Done</t>
        </is>
      </c>
      <c r="Y120" s="13" t="n">
        <v>1</v>
      </c>
      <c r="Z120" s="12" t="n"/>
      <c r="AA120" s="12" t="inlineStr">
        <is>
          <t>TC-053-B</t>
        </is>
      </c>
      <c r="AB120" s="12" t="inlineStr">
        <is>
          <t>Approved screen design; story reviewed with Front Office Manager; dependencies, API contract, role permissions and test data identified.</t>
        </is>
      </c>
      <c r="AC120" s="12" t="inlineStr">
        <is>
          <t>Code reviewed; unit, API, UI, RBAC and integration tests pass; accessibility and responsive states verified; audit evidence captured; product owner accepts in staging.</t>
        </is>
      </c>
      <c r="AD120" s="12" t="inlineStr">
        <is>
          <t>Primary workflow: POST /reservation-units/{id}/room-move. A move is TWO FACTS, not an edit - this room until a moment, that room after it - so the old room's room_calendar_entry is SHORTENED to the effective time and the new room gets its own entry for the rest of the stay. Nights already slept stay attached to the room they were slept in, which is what housekeeping, a minibar dispute and any later audit need. An in-house guest's stay follows them: the open stay_room_segment is closed and a new one opened, so the stay records both rooms and their times. Also updates assigned_room_id and, when the target is a different type, the unit's room_type_id so the reservation stops claiming a room type the guest is not in. Rate difference is charged to the folio as a room_upgrade debit unless unticked (a complimentary upgrade is a move with no money). Notify Housekeeping genuinely marks the vacated room dirty. Reference numbers are RMU-YYYYMMDD-NNN, unique per property. Migration 0017 adds booking.room_moves capturing the decision AND the rates at the time, because room rates change and asking later what an upgrade cost is only answerable if written down then. Verified end to end: Meera moved 201 -&gt; 203 effective 7 Sep 14:00, entry on 201 shortened to 7 Sep 14:00, new active entry on 203 from 7 Sep 14:00 to 8 Sep 11:00, unit reassigned, third stay segment created, room 201 marked dirty.</t>
        </is>
      </c>
    </row>
    <row r="121" ht="78" customHeight="1" s="43">
      <c r="A121" s="11" t="n">
        <v>1</v>
      </c>
      <c r="B121" s="11" t="n">
        <v>117</v>
      </c>
      <c r="C121" s="12" t="inlineStr">
        <is>
          <t>US-053-03</t>
        </is>
      </c>
      <c r="D121" s="12" t="inlineStr">
        <is>
          <t>Control permissions, overrides and audit for Room Move and Upgrade</t>
        </is>
      </c>
      <c r="E121" s="12" t="inlineStr">
        <is>
          <t>EPIC-02</t>
        </is>
      </c>
      <c r="F121" s="12" t="inlineStr">
        <is>
          <t>Front Desk</t>
        </is>
      </c>
      <c r="G121" s="12" t="inlineStr">
        <is>
          <t>In-Stay Movement</t>
        </is>
      </c>
      <c r="H121" s="11" t="inlineStr">
        <is>
          <t>SCR-053</t>
        </is>
      </c>
      <c r="I121" s="12" t="inlineStr">
        <is>
          <t>Room Move and Upgrade</t>
        </is>
      </c>
      <c r="J121" s="12" t="inlineStr">
        <is>
          <t>Security / Exceptions</t>
        </is>
      </c>
      <c r="K121" s="12" t="inlineStr">
        <is>
          <t>Front Office Manager</t>
        </is>
      </c>
      <c r="L121" s="12" t="inlineStr">
        <is>
          <t>As a department supervisor or auditor, I want sensitive actions in Room Move and Upgrade to follow permissions, approval limits and audit rules, so that resort operations remain secure, compliant and traceable.</t>
        </is>
      </c>
      <c r="M121" s="12" t="inlineStr">
        <is>
          <t>Reduces fraud, privacy leakage, unauthorized overrides and unresolved operational disputes.</t>
        </is>
      </c>
      <c r="N121" s="12" t="inlineStr">
        <is>
          <t>Roles, permissions, approval hierarchy and audit service are configured; allowed and denied test users exist.</t>
        </is>
      </c>
      <c r="O12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21" s="12" t="inlineStr">
        <is>
          <t>Tampered IDs, expired sessions, approval-limit violations and cross-tenant requests are rejected; secrets and sensitive guest/payment fields are never written to logs.</t>
        </is>
      </c>
      <c r="Q121" s="12" t="inlineStr">
        <is>
          <t>Tenant/property scope; required fields; optimistic locking; timezone-safe dates; reason mandatory for overrides; availability and overlap check; status-transition rules; cancellation policy</t>
        </is>
      </c>
      <c r="R121" s="12" t="inlineStr">
        <is>
          <t>Reservations, Rooms, Finance</t>
        </is>
      </c>
      <c r="S121" s="12" t="inlineStr">
        <is>
          <t>GET, POST, PUT/PATCH, DELETE /api/v1/room-move-and-upgrade; lookup, validation and audit endpoints; idempotency for financial/booking writes; entities: stays, room_assignments, folios, keys</t>
        </is>
      </c>
      <c r="T121" s="12" t="inlineStr">
        <is>
          <t>Must Have</t>
        </is>
      </c>
      <c r="U121" s="12" t="inlineStr">
        <is>
          <t>MVP</t>
        </is>
      </c>
      <c r="V121" s="34" t="n">
        <v>5</v>
      </c>
      <c r="W121" s="12" t="inlineStr">
        <is>
          <t>S05-S07</t>
        </is>
      </c>
      <c r="X121" s="12" t="inlineStr">
        <is>
          <t>Done</t>
        </is>
      </c>
      <c r="Y121" s="13" t="n">
        <v>1</v>
      </c>
      <c r="Z121" s="12" t="n"/>
      <c r="AA121" s="12" t="inlineStr">
        <is>
          <t>TC-053-C</t>
        </is>
      </c>
      <c r="AB121" s="12" t="inlineStr">
        <is>
          <t>Approved screen design; story reviewed with Front Office Manager; dependencies, API contract, role permissions and test data identified.</t>
        </is>
      </c>
      <c r="AC121" s="12" t="inlineStr">
        <is>
          <t>Code reviewed; unit, API, UI, RBAC and integration tests pass; accessibility and responsive states verified; audit evidence captured; product owner accepts in staging.</t>
        </is>
      </c>
      <c r="AD121" s="12" t="inlineStr">
        <is>
          <t>Security/exceptions: RBAC front_desk.view / front_desk.edit deny-by-default. The new calendar entry is inserted through the SAME GiST exclusion constraint everything else uses, so a room taken since the screen loaded fails with 409 'was taken while this screen was open' and the guest keeps their old room - the candidate filter is convenience, the constraint is the guarantee. Verified: moving into the room the guest is already in -&gt; 422; a unit with no assigned room -&gt; 422 pointing at assignment instead; a room not active/in_service -&gt; 422; an effective date on or after departure -&gt; 422; an overstay or ended stay returns an EMPTY candidate list rather than erroring on a degenerate date range (found and fixed: it was a 500). AN UPGRADE ABOVE THE Rs 5,000 THRESHOLD IS NOT PERFORMED - it is recorded as pending_approval and the guest stays put, because approval routing still does not exist (042 has a queue but no path into it) and quietly moving someone while imagining the paperwork would be worse than waiting; the screen's button changes to 'Request Upgrade Approval' and says so. Append-only audit room_move.completed / room_move.requested. GAP STATED ON THE SCREEN: 'Reissue Key Card' is recorded, not done - no door-lock integration.</t>
        </is>
      </c>
    </row>
    <row r="122" ht="78" customHeight="1" s="43">
      <c r="A122" s="11" t="n">
        <v>1</v>
      </c>
      <c r="B122" s="11" t="n">
        <v>118</v>
      </c>
      <c r="C122" s="12" t="inlineStr">
        <is>
          <t>US-054-01</t>
        </is>
      </c>
      <c r="D122" s="12" t="inlineStr">
        <is>
          <t>View and find information in Split Reservation</t>
        </is>
      </c>
      <c r="E122" s="12" t="inlineStr">
        <is>
          <t>EPIC-03</t>
        </is>
      </c>
      <c r="F122" s="12" t="inlineStr">
        <is>
          <t>Reservations</t>
        </is>
      </c>
      <c r="G122" s="12" t="inlineStr">
        <is>
          <t>Booking Modification</t>
        </is>
      </c>
      <c r="H122" s="11" t="inlineStr">
        <is>
          <t>SCR-054</t>
        </is>
      </c>
      <c r="I122" s="12" t="inlineStr">
        <is>
          <t>Split Reservation</t>
        </is>
      </c>
      <c r="J122" s="12" t="inlineStr">
        <is>
          <t>View / Search</t>
        </is>
      </c>
      <c r="K122" s="12" t="inlineStr">
        <is>
          <t>Reservation Manager</t>
        </is>
      </c>
      <c r="L122" s="12" t="inlineStr">
        <is>
          <t>As a Reservation Manager, I want to open Split Reservation and find relevant records using search, filters and sorting, so that I can make accurate operational decisions.</t>
        </is>
      </c>
      <c r="M122" s="12" t="inlineStr">
        <is>
          <t>Provides timely visibility for booking modification and reduces manual lookup effort.</t>
        </is>
      </c>
      <c r="N122" s="12" t="inlineStr">
        <is>
          <t>Authenticated user; active property; view permission for Reservations; Rooms, Rates, Guests, Payments data available.</t>
        </is>
      </c>
      <c r="O122" s="12" t="inlineStr">
        <is>
          <t>Given I am authenticated as Reservation Manager with access to the selected property, when I open Split Reservation,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22" s="12" t="inlineStr">
        <is>
          <t>Cross-property data never appears; unauthorized fields are masked; invalid filters do not break the screen; unavailable services return a controlled message.</t>
        </is>
      </c>
      <c r="Q122" s="12" t="inlineStr">
        <is>
          <t>Tenant/property scope; required fields; optimistic locking; timezone-safe dates; reason mandatory for overrides; availability and overlap check; status-transition rules; cancellation policy</t>
        </is>
      </c>
      <c r="R122" s="12" t="inlineStr">
        <is>
          <t>Rooms, Rates, Guests, Payments</t>
        </is>
      </c>
      <c r="S122" s="12" t="inlineStr">
        <is>
          <t>GET, POST/PATCH /api/v1/split-reservation; lookup, validation and audit endpoints; idempotency for financial/booking writes; entities: reservations, reservation_guests, reservation_items, deposits</t>
        </is>
      </c>
      <c r="T122" s="12" t="inlineStr">
        <is>
          <t>Must Have</t>
        </is>
      </c>
      <c r="U122" s="12" t="inlineStr">
        <is>
          <t>MVP</t>
        </is>
      </c>
      <c r="V122" s="34" t="n">
        <v>3</v>
      </c>
      <c r="W122" s="12" t="inlineStr">
        <is>
          <t>S05-S07</t>
        </is>
      </c>
      <c r="X122" s="12" t="inlineStr">
        <is>
          <t>Backlog</t>
        </is>
      </c>
      <c r="Y122" s="13">
        <f>IF(X122="Done",1,IF(X122="QA",0.9,IF(X122="Code Review",0.75,IF(X122="In Development",0.5,IF(X122="Ready",0.1,0)))))</f>
        <v/>
      </c>
      <c r="Z122" s="12" t="n"/>
      <c r="AA122" s="12" t="inlineStr">
        <is>
          <t>TC-054-A</t>
        </is>
      </c>
      <c r="AB122" s="12" t="inlineStr">
        <is>
          <t>Approved screen design; story reviewed with Reservation Manager; dependencies, API contract, role permissions and test data identified.</t>
        </is>
      </c>
      <c r="AC122" s="12" t="inlineStr">
        <is>
          <t>Code reviewed; unit, API, UI, RBAC and integration tests pass; accessibility and responsive states verified; audit evidence captured; product owner accepts in staging.</t>
        </is>
      </c>
      <c r="AD122" s="12" t="n"/>
    </row>
    <row r="123" ht="78" customHeight="1" s="43">
      <c r="A123" s="11" t="n">
        <v>1</v>
      </c>
      <c r="B123" s="11" t="n">
        <v>119</v>
      </c>
      <c r="C123" s="12" t="inlineStr">
        <is>
          <t>US-054-02</t>
        </is>
      </c>
      <c r="D123" s="12" t="inlineStr">
        <is>
          <t>Complete the primary Split Reservation workflow</t>
        </is>
      </c>
      <c r="E123" s="12" t="inlineStr">
        <is>
          <t>EPIC-03</t>
        </is>
      </c>
      <c r="F123" s="12" t="inlineStr">
        <is>
          <t>Reservations</t>
        </is>
      </c>
      <c r="G123" s="12" t="inlineStr">
        <is>
          <t>Booking Modification</t>
        </is>
      </c>
      <c r="H123" s="11" t="inlineStr">
        <is>
          <t>SCR-054</t>
        </is>
      </c>
      <c r="I123" s="12" t="inlineStr">
        <is>
          <t>Split Reservation</t>
        </is>
      </c>
      <c r="J123" s="12" t="inlineStr">
        <is>
          <t>Primary Workflow</t>
        </is>
      </c>
      <c r="K123" s="12" t="inlineStr">
        <is>
          <t>Reservation Manager</t>
        </is>
      </c>
      <c r="L123" s="12" t="inlineStr">
        <is>
          <t>As a Reservation Manager, I want to view, select lines/guests, split, rebalance, confirm in Split Reservation, so that the booking modification process is completed accurately without duplicate or inconsistent records.</t>
        </is>
      </c>
      <c r="M123" s="12" t="inlineStr">
        <is>
          <t>Enable reservations users to manage booking modification through the Split Reservation workflow with real-time status, validations and traceability.</t>
        </is>
      </c>
      <c r="N123" s="12" t="inlineStr">
        <is>
          <t>View access confirmed; required masters and linked records exist; Rooms, Rates, Guests, Payments services are available; approval limit is valid.</t>
        </is>
      </c>
      <c r="O12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split reservation workflow; invalid or conflicting actions are blocked with clear messages; saved changes appear in related screens; sensitive changes are auditable.</t>
        </is>
      </c>
      <c r="P123" s="12" t="inlineStr">
        <is>
          <t>Duplicate submission is idempotent; stale data returns a refresh/conflict message; invalid status transitions are blocked; partial failure rolls back without orphan records.</t>
        </is>
      </c>
      <c r="Q123" s="12" t="inlineStr">
        <is>
          <t>Tenant/property scope; required fields; optimistic locking; timezone-safe dates; reason mandatory for overrides; availability and overlap check; status-transition rules; cancellation policy</t>
        </is>
      </c>
      <c r="R123" s="12" t="inlineStr">
        <is>
          <t>Rooms, Rates, Guests, Payments</t>
        </is>
      </c>
      <c r="S123" s="12" t="inlineStr">
        <is>
          <t>GET, POST/PATCH /api/v1/split-reservation; lookup, validation and audit endpoints; idempotency for financial/booking writes; entities: reservations, reservation_guests, reservation_items, deposits</t>
        </is>
      </c>
      <c r="T123" s="12" t="inlineStr">
        <is>
          <t>Must Have</t>
        </is>
      </c>
      <c r="U123" s="12" t="inlineStr">
        <is>
          <t>MVP</t>
        </is>
      </c>
      <c r="V123" s="34" t="n">
        <v>8</v>
      </c>
      <c r="W123" s="12" t="inlineStr">
        <is>
          <t>S05-S07</t>
        </is>
      </c>
      <c r="X123" s="12" t="inlineStr">
        <is>
          <t>Backlog</t>
        </is>
      </c>
      <c r="Y123" s="13">
        <f>IF(X123="Done",1,IF(X123="QA",0.9,IF(X123="Code Review",0.75,IF(X123="In Development",0.5,IF(X123="Ready",0.1,0)))))</f>
        <v/>
      </c>
      <c r="Z123" s="12" t="n"/>
      <c r="AA123" s="12" t="inlineStr">
        <is>
          <t>TC-054-B</t>
        </is>
      </c>
      <c r="AB123" s="12" t="inlineStr">
        <is>
          <t>Approved screen design; story reviewed with Reservation Manager; dependencies, API contract, role permissions and test data identified.</t>
        </is>
      </c>
      <c r="AC123" s="12" t="inlineStr">
        <is>
          <t>Code reviewed; unit, API, UI, RBAC and integration tests pass; accessibility and responsive states verified; audit evidence captured; product owner accepts in staging.</t>
        </is>
      </c>
      <c r="AD123" s="12" t="n"/>
    </row>
    <row r="124" ht="78" customHeight="1" s="43">
      <c r="A124" s="11" t="n">
        <v>1</v>
      </c>
      <c r="B124" s="11" t="n">
        <v>120</v>
      </c>
      <c r="C124" s="12" t="inlineStr">
        <is>
          <t>US-054-03</t>
        </is>
      </c>
      <c r="D124" s="12" t="inlineStr">
        <is>
          <t>Control permissions, overrides and audit for Split Reservation</t>
        </is>
      </c>
      <c r="E124" s="12" t="inlineStr">
        <is>
          <t>EPIC-03</t>
        </is>
      </c>
      <c r="F124" s="12" t="inlineStr">
        <is>
          <t>Reservations</t>
        </is>
      </c>
      <c r="G124" s="12" t="inlineStr">
        <is>
          <t>Booking Modification</t>
        </is>
      </c>
      <c r="H124" s="11" t="inlineStr">
        <is>
          <t>SCR-054</t>
        </is>
      </c>
      <c r="I124" s="12" t="inlineStr">
        <is>
          <t>Split Reservation</t>
        </is>
      </c>
      <c r="J124" s="12" t="inlineStr">
        <is>
          <t>Security / Exceptions</t>
        </is>
      </c>
      <c r="K124" s="12" t="inlineStr">
        <is>
          <t>Reservation Manager</t>
        </is>
      </c>
      <c r="L124" s="12" t="inlineStr">
        <is>
          <t>As a department supervisor or auditor, I want sensitive actions in Split Reservation to follow permissions, approval limits and audit rules, so that resort operations remain secure, compliant and traceable.</t>
        </is>
      </c>
      <c r="M124" s="12" t="inlineStr">
        <is>
          <t>Reduces fraud, privacy leakage, unauthorized overrides and unresolved operational disputes.</t>
        </is>
      </c>
      <c r="N124" s="12" t="inlineStr">
        <is>
          <t>Roles, permissions, approval hierarchy and audit service are configured; allowed and denied test users exist.</t>
        </is>
      </c>
      <c r="O12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24" s="12" t="inlineStr">
        <is>
          <t>Tampered IDs, expired sessions, approval-limit violations and cross-tenant requests are rejected; secrets and sensitive guest/payment fields are never written to logs.</t>
        </is>
      </c>
      <c r="Q124" s="12" t="inlineStr">
        <is>
          <t>Tenant/property scope; required fields; optimistic locking; timezone-safe dates; reason mandatory for overrides; availability and overlap check; status-transition rules; cancellation policy</t>
        </is>
      </c>
      <c r="R124" s="12" t="inlineStr">
        <is>
          <t>Rooms, Rates, Guests, Payments</t>
        </is>
      </c>
      <c r="S124" s="12" t="inlineStr">
        <is>
          <t>GET, POST/PATCH /api/v1/split-reservation; lookup, validation and audit endpoints; idempotency for financial/booking writes; entities: reservations, reservation_guests, reservation_items, deposits</t>
        </is>
      </c>
      <c r="T124" s="12" t="inlineStr">
        <is>
          <t>Must Have</t>
        </is>
      </c>
      <c r="U124" s="12" t="inlineStr">
        <is>
          <t>MVP</t>
        </is>
      </c>
      <c r="V124" s="34" t="n">
        <v>5</v>
      </c>
      <c r="W124" s="12" t="inlineStr">
        <is>
          <t>S05-S07</t>
        </is>
      </c>
      <c r="X124" s="12" t="inlineStr">
        <is>
          <t>Backlog</t>
        </is>
      </c>
      <c r="Y124" s="13">
        <f>IF(X124="Done",1,IF(X124="QA",0.9,IF(X124="Code Review",0.75,IF(X124="In Development",0.5,IF(X124="Ready",0.1,0)))))</f>
        <v/>
      </c>
      <c r="Z124" s="12" t="n"/>
      <c r="AA124" s="12" t="inlineStr">
        <is>
          <t>TC-054-C</t>
        </is>
      </c>
      <c r="AB124" s="12" t="inlineStr">
        <is>
          <t>Approved screen design; story reviewed with Reservation Manager; dependencies, API contract, role permissions and test data identified.</t>
        </is>
      </c>
      <c r="AC124" s="12" t="inlineStr">
        <is>
          <t>Code reviewed; unit, API, UI, RBAC and integration tests pass; accessibility and responsive states verified; audit evidence captured; product owner accepts in staging.</t>
        </is>
      </c>
      <c r="AD124" s="12" t="n"/>
    </row>
    <row r="125" ht="78" customHeight="1" s="43">
      <c r="A125" s="11" t="n">
        <v>1</v>
      </c>
      <c r="B125" s="11" t="n">
        <v>121</v>
      </c>
      <c r="C125" s="12" t="inlineStr">
        <is>
          <t>US-055-01</t>
        </is>
      </c>
      <c r="D125" s="12" t="inlineStr">
        <is>
          <t>View and find information in Merge Reservations</t>
        </is>
      </c>
      <c r="E125" s="12" t="inlineStr">
        <is>
          <t>EPIC-03</t>
        </is>
      </c>
      <c r="F125" s="12" t="inlineStr">
        <is>
          <t>Reservations</t>
        </is>
      </c>
      <c r="G125" s="12" t="inlineStr">
        <is>
          <t>Booking Modification</t>
        </is>
      </c>
      <c r="H125" s="11" t="inlineStr">
        <is>
          <t>SCR-055</t>
        </is>
      </c>
      <c r="I125" s="12" t="inlineStr">
        <is>
          <t>Merge Reservations</t>
        </is>
      </c>
      <c r="J125" s="12" t="inlineStr">
        <is>
          <t>View / Search</t>
        </is>
      </c>
      <c r="K125" s="12" t="inlineStr">
        <is>
          <t>Reservation Manager</t>
        </is>
      </c>
      <c r="L125" s="12" t="inlineStr">
        <is>
          <t>As a Reservation Manager, I want to open Merge Reservations and find relevant records using search, filters and sorting, so that I can make accurate operational decisions.</t>
        </is>
      </c>
      <c r="M125" s="12" t="inlineStr">
        <is>
          <t>Provides timely visibility for booking modification and reduces manual lookup effort.</t>
        </is>
      </c>
      <c r="N125" s="12" t="inlineStr">
        <is>
          <t>Authenticated user; active property; view permission for Reservations; Rooms, Rates, Guests, Payments data available.</t>
        </is>
      </c>
      <c r="O125" s="12" t="inlineStr">
        <is>
          <t>Given I am authenticated as Reservation Manager with access to the selected property, when I open Merge Reservations,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25" s="12" t="inlineStr">
        <is>
          <t>Cross-property data never appears; unauthorized fields are masked; invalid filters do not break the screen; unavailable services return a controlled message.</t>
        </is>
      </c>
      <c r="Q125" s="12" t="inlineStr">
        <is>
          <t>Tenant/property scope; required fields; optimistic locking; timezone-safe dates; reason mandatory for overrides; availability and overlap check; status-transition rules; cancellation policy</t>
        </is>
      </c>
      <c r="R125" s="12" t="inlineStr">
        <is>
          <t>Rooms, Rates, Guests, Payments</t>
        </is>
      </c>
      <c r="S125" s="12" t="inlineStr">
        <is>
          <t>GET, POST/PATCH /api/v1/merge-reservations; lookup, validation and audit endpoints; idempotency for financial/booking writes; entities: reservations, reservation_guests, reservation_items, deposits</t>
        </is>
      </c>
      <c r="T125" s="12" t="inlineStr">
        <is>
          <t>Must Have</t>
        </is>
      </c>
      <c r="U125" s="12" t="inlineStr">
        <is>
          <t>MVP</t>
        </is>
      </c>
      <c r="V125" s="34" t="n">
        <v>3</v>
      </c>
      <c r="W125" s="12" t="inlineStr">
        <is>
          <t>S05-S07</t>
        </is>
      </c>
      <c r="X125" s="12" t="inlineStr">
        <is>
          <t>Backlog</t>
        </is>
      </c>
      <c r="Y125" s="13">
        <f>IF(X125="Done",1,IF(X125="QA",0.9,IF(X125="Code Review",0.75,IF(X125="In Development",0.5,IF(X125="Ready",0.1,0)))))</f>
        <v/>
      </c>
      <c r="Z125" s="12" t="n"/>
      <c r="AA125" s="12" t="inlineStr">
        <is>
          <t>TC-055-A</t>
        </is>
      </c>
      <c r="AB125" s="12" t="inlineStr">
        <is>
          <t>Approved screen design; story reviewed with Reservation Manager; dependencies, API contract, role permissions and test data identified.</t>
        </is>
      </c>
      <c r="AC125" s="12" t="inlineStr">
        <is>
          <t>Code reviewed; unit, API, UI, RBAC and integration tests pass; accessibility and responsive states verified; audit evidence captured; product owner accepts in staging.</t>
        </is>
      </c>
      <c r="AD125" s="12" t="n"/>
    </row>
    <row r="126" ht="78" customHeight="1" s="43">
      <c r="A126" s="11" t="n">
        <v>1</v>
      </c>
      <c r="B126" s="11" t="n">
        <v>122</v>
      </c>
      <c r="C126" s="12" t="inlineStr">
        <is>
          <t>US-055-02</t>
        </is>
      </c>
      <c r="D126" s="12" t="inlineStr">
        <is>
          <t>Complete the primary Merge Reservations workflow</t>
        </is>
      </c>
      <c r="E126" s="12" t="inlineStr">
        <is>
          <t>EPIC-03</t>
        </is>
      </c>
      <c r="F126" s="12" t="inlineStr">
        <is>
          <t>Reservations</t>
        </is>
      </c>
      <c r="G126" s="12" t="inlineStr">
        <is>
          <t>Booking Modification</t>
        </is>
      </c>
      <c r="H126" s="11" t="inlineStr">
        <is>
          <t>SCR-055</t>
        </is>
      </c>
      <c r="I126" s="12" t="inlineStr">
        <is>
          <t>Merge Reservations</t>
        </is>
      </c>
      <c r="J126" s="12" t="inlineStr">
        <is>
          <t>Primary Workflow</t>
        </is>
      </c>
      <c r="K126" s="12" t="inlineStr">
        <is>
          <t>Reservation Manager</t>
        </is>
      </c>
      <c r="L126" s="12" t="inlineStr">
        <is>
          <t>As a Reservation Manager, I want to search, compare, select survivor, merge, undo under policy in Merge Reservations, so that the booking modification process is completed accurately without duplicate or inconsistent records.</t>
        </is>
      </c>
      <c r="M126" s="12" t="inlineStr">
        <is>
          <t>Enable reservations users to manage booking modification through the Merge Reservations workflow with real-time status, validations and traceability.</t>
        </is>
      </c>
      <c r="N126" s="12" t="inlineStr">
        <is>
          <t>View access confirmed; required masters and linked records exist; Rooms, Rates, Guests, Payments services are available; approval limit is valid.</t>
        </is>
      </c>
      <c r="O12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merge reservations workflow; invalid or conflicting actions are blocked with clear messages; saved changes appear in related screens; sensitive changes are auditable.</t>
        </is>
      </c>
      <c r="P126" s="12" t="inlineStr">
        <is>
          <t>Duplicate submission is idempotent; stale data returns a refresh/conflict message; invalid status transitions are blocked; partial failure rolls back without orphan records.</t>
        </is>
      </c>
      <c r="Q126" s="12" t="inlineStr">
        <is>
          <t>Tenant/property scope; required fields; optimistic locking; timezone-safe dates; reason mandatory for overrides; availability and overlap check; status-transition rules; cancellation policy</t>
        </is>
      </c>
      <c r="R126" s="12" t="inlineStr">
        <is>
          <t>Rooms, Rates, Guests, Payments</t>
        </is>
      </c>
      <c r="S126" s="12" t="inlineStr">
        <is>
          <t>GET, POST/PATCH /api/v1/merge-reservations; lookup, validation and audit endpoints; idempotency for financial/booking writes; entities: reservations, reservation_guests, reservation_items, deposits</t>
        </is>
      </c>
      <c r="T126" s="12" t="inlineStr">
        <is>
          <t>Must Have</t>
        </is>
      </c>
      <c r="U126" s="12" t="inlineStr">
        <is>
          <t>MVP</t>
        </is>
      </c>
      <c r="V126" s="34" t="n">
        <v>8</v>
      </c>
      <c r="W126" s="12" t="inlineStr">
        <is>
          <t>S05-S07</t>
        </is>
      </c>
      <c r="X126" s="12" t="inlineStr">
        <is>
          <t>Backlog</t>
        </is>
      </c>
      <c r="Y126" s="13">
        <f>IF(X126="Done",1,IF(X126="QA",0.9,IF(X126="Code Review",0.75,IF(X126="In Development",0.5,IF(X126="Ready",0.1,0)))))</f>
        <v/>
      </c>
      <c r="Z126" s="12" t="n"/>
      <c r="AA126" s="12" t="inlineStr">
        <is>
          <t>TC-055-B</t>
        </is>
      </c>
      <c r="AB126" s="12" t="inlineStr">
        <is>
          <t>Approved screen design; story reviewed with Reservation Manager; dependencies, API contract, role permissions and test data identified.</t>
        </is>
      </c>
      <c r="AC126" s="12" t="inlineStr">
        <is>
          <t>Code reviewed; unit, API, UI, RBAC and integration tests pass; accessibility and responsive states verified; audit evidence captured; product owner accepts in staging.</t>
        </is>
      </c>
      <c r="AD126" s="12" t="n"/>
    </row>
    <row r="127" ht="78" customHeight="1" s="43">
      <c r="A127" s="11" t="n">
        <v>1</v>
      </c>
      <c r="B127" s="11" t="n">
        <v>123</v>
      </c>
      <c r="C127" s="12" t="inlineStr">
        <is>
          <t>US-055-03</t>
        </is>
      </c>
      <c r="D127" s="12" t="inlineStr">
        <is>
          <t>Control permissions, overrides and audit for Merge Reservations</t>
        </is>
      </c>
      <c r="E127" s="12" t="inlineStr">
        <is>
          <t>EPIC-03</t>
        </is>
      </c>
      <c r="F127" s="12" t="inlineStr">
        <is>
          <t>Reservations</t>
        </is>
      </c>
      <c r="G127" s="12" t="inlineStr">
        <is>
          <t>Booking Modification</t>
        </is>
      </c>
      <c r="H127" s="11" t="inlineStr">
        <is>
          <t>SCR-055</t>
        </is>
      </c>
      <c r="I127" s="12" t="inlineStr">
        <is>
          <t>Merge Reservations</t>
        </is>
      </c>
      <c r="J127" s="12" t="inlineStr">
        <is>
          <t>Security / Exceptions</t>
        </is>
      </c>
      <c r="K127" s="12" t="inlineStr">
        <is>
          <t>Reservation Manager</t>
        </is>
      </c>
      <c r="L127" s="12" t="inlineStr">
        <is>
          <t>As a department supervisor or auditor, I want sensitive actions in Merge Reservations to follow permissions, approval limits and audit rules, so that resort operations remain secure, compliant and traceable.</t>
        </is>
      </c>
      <c r="M127" s="12" t="inlineStr">
        <is>
          <t>Reduces fraud, privacy leakage, unauthorized overrides and unresolved operational disputes.</t>
        </is>
      </c>
      <c r="N127" s="12" t="inlineStr">
        <is>
          <t>Roles, permissions, approval hierarchy and audit service are configured; allowed and denied test users exist.</t>
        </is>
      </c>
      <c r="O12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27" s="12" t="inlineStr">
        <is>
          <t>Tampered IDs, expired sessions, approval-limit violations and cross-tenant requests are rejected; secrets and sensitive guest/payment fields are never written to logs.</t>
        </is>
      </c>
      <c r="Q127" s="12" t="inlineStr">
        <is>
          <t>Tenant/property scope; required fields; optimistic locking; timezone-safe dates; reason mandatory for overrides; availability and overlap check; status-transition rules; cancellation policy</t>
        </is>
      </c>
      <c r="R127" s="12" t="inlineStr">
        <is>
          <t>Rooms, Rates, Guests, Payments</t>
        </is>
      </c>
      <c r="S127" s="12" t="inlineStr">
        <is>
          <t>GET, POST/PATCH /api/v1/merge-reservations; lookup, validation and audit endpoints; idempotency for financial/booking writes; entities: reservations, reservation_guests, reservation_items, deposits</t>
        </is>
      </c>
      <c r="T127" s="12" t="inlineStr">
        <is>
          <t>Must Have</t>
        </is>
      </c>
      <c r="U127" s="12" t="inlineStr">
        <is>
          <t>MVP</t>
        </is>
      </c>
      <c r="V127" s="34" t="n">
        <v>5</v>
      </c>
      <c r="W127" s="12" t="inlineStr">
        <is>
          <t>S05-S07</t>
        </is>
      </c>
      <c r="X127" s="12" t="inlineStr">
        <is>
          <t>Backlog</t>
        </is>
      </c>
      <c r="Y127" s="13">
        <f>IF(X127="Done",1,IF(X127="QA",0.9,IF(X127="Code Review",0.75,IF(X127="In Development",0.5,IF(X127="Ready",0.1,0)))))</f>
        <v/>
      </c>
      <c r="Z127" s="12" t="n"/>
      <c r="AA127" s="12" t="inlineStr">
        <is>
          <t>TC-055-C</t>
        </is>
      </c>
      <c r="AB127" s="12" t="inlineStr">
        <is>
          <t>Approved screen design; story reviewed with Reservation Manager; dependencies, API contract, role permissions and test data identified.</t>
        </is>
      </c>
      <c r="AC127" s="12" t="inlineStr">
        <is>
          <t>Code reviewed; unit, API, UI, RBAC and integration tests pass; accessibility and responsive states verified; audit evidence captured; product owner accepts in staging.</t>
        </is>
      </c>
      <c r="AD127" s="12" t="n"/>
    </row>
    <row r="128" ht="78" customHeight="1" s="43">
      <c r="A128" s="11" t="n">
        <v>1</v>
      </c>
      <c r="B128" s="11" t="n">
        <v>124</v>
      </c>
      <c r="C128" s="12" t="inlineStr">
        <is>
          <t>US-056-01</t>
        </is>
      </c>
      <c r="D128" s="12" t="inlineStr">
        <is>
          <t>View and find information in Reservation Notes and Tasks</t>
        </is>
      </c>
      <c r="E128" s="12" t="inlineStr">
        <is>
          <t>EPIC-03</t>
        </is>
      </c>
      <c r="F128" s="12" t="inlineStr">
        <is>
          <t>Reservations</t>
        </is>
      </c>
      <c r="G128" s="12" t="inlineStr">
        <is>
          <t>Notes &amp; Tasks</t>
        </is>
      </c>
      <c r="H128" s="11" t="inlineStr">
        <is>
          <t>SCR-056</t>
        </is>
      </c>
      <c r="I128" s="12" t="inlineStr">
        <is>
          <t>Reservation Notes and Tasks</t>
        </is>
      </c>
      <c r="J128" s="12" t="inlineStr">
        <is>
          <t>View / Search</t>
        </is>
      </c>
      <c r="K128" s="12" t="inlineStr">
        <is>
          <t>Reservation Manager</t>
        </is>
      </c>
      <c r="L128" s="12" t="inlineStr">
        <is>
          <t>As a Reservation Manager, I want to open Reservation Notes and Tasks and find relevant records using search, filters and sorting, so that I can make accurate operational decisions.</t>
        </is>
      </c>
      <c r="M128" s="12" t="inlineStr">
        <is>
          <t>Provides timely visibility for notes &amp; tasks and reduces manual lookup effort.</t>
        </is>
      </c>
      <c r="N128" s="12" t="inlineStr">
        <is>
          <t>Authenticated user; active property; view permission for Reservations; Rooms, Rates, Guests, Payments data available.</t>
        </is>
      </c>
      <c r="O128" s="12" t="inlineStr">
        <is>
          <t>Given I am authenticated as Reservation Manager with access to the selected property, when I open Reservation Notes and Tasks,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28" s="12" t="inlineStr">
        <is>
          <t>Cross-property data never appears; unauthorized fields are masked; invalid filters do not break the screen; unavailable services return a controlled message.</t>
        </is>
      </c>
      <c r="Q128" s="12" t="inlineStr">
        <is>
          <t>Tenant/property scope; required fields; optimistic locking; timezone-safe dates; reason mandatory for overrides; availability and overlap check; status-transition rules; cancellation policy</t>
        </is>
      </c>
      <c r="R128" s="12" t="inlineStr">
        <is>
          <t>Rooms, Rates, Guests, Payments</t>
        </is>
      </c>
      <c r="S128" s="12" t="inlineStr">
        <is>
          <t>GET, POST, PUT/PATCH, DELETE /api/v1/reservation-notes-and-tasks; lookup, validation and audit endpoints; idempotency for financial/booking writes; entities: reservations, reservation_guests, reservation_items, deposits</t>
        </is>
      </c>
      <c r="T128" s="12" t="inlineStr">
        <is>
          <t>Must Have</t>
        </is>
      </c>
      <c r="U128" s="12" t="inlineStr">
        <is>
          <t>MVP</t>
        </is>
      </c>
      <c r="V128" s="34" t="n">
        <v>3</v>
      </c>
      <c r="W128" s="12" t="inlineStr">
        <is>
          <t>S05-S07</t>
        </is>
      </c>
      <c r="X128" s="12" t="inlineStr">
        <is>
          <t>Backlog</t>
        </is>
      </c>
      <c r="Y128" s="13">
        <f>IF(X128="Done",1,IF(X128="QA",0.9,IF(X128="Code Review",0.75,IF(X128="In Development",0.5,IF(X128="Ready",0.1,0)))))</f>
        <v/>
      </c>
      <c r="Z128" s="12" t="n"/>
      <c r="AA128" s="12" t="inlineStr">
        <is>
          <t>TC-056-A</t>
        </is>
      </c>
      <c r="AB128" s="12" t="inlineStr">
        <is>
          <t>Approved screen design; story reviewed with Reservation Manager; dependencies, API contract, role permissions and test data identified.</t>
        </is>
      </c>
      <c r="AC128" s="12" t="inlineStr">
        <is>
          <t>Code reviewed; unit, API, UI, RBAC and integration tests pass; accessibility and responsive states verified; audit evidence captured; product owner accepts in staging.</t>
        </is>
      </c>
      <c r="AD128" s="12" t="n"/>
    </row>
    <row r="129" ht="78" customHeight="1" s="43">
      <c r="A129" s="11" t="n">
        <v>1</v>
      </c>
      <c r="B129" s="11" t="n">
        <v>125</v>
      </c>
      <c r="C129" s="12" t="inlineStr">
        <is>
          <t>US-056-02</t>
        </is>
      </c>
      <c r="D129" s="12" t="inlineStr">
        <is>
          <t>Complete the primary Reservation Notes and Tasks workflow</t>
        </is>
      </c>
      <c r="E129" s="12" t="inlineStr">
        <is>
          <t>EPIC-03</t>
        </is>
      </c>
      <c r="F129" s="12" t="inlineStr">
        <is>
          <t>Reservations</t>
        </is>
      </c>
      <c r="G129" s="12" t="inlineStr">
        <is>
          <t>Notes &amp; Tasks</t>
        </is>
      </c>
      <c r="H129" s="11" t="inlineStr">
        <is>
          <t>SCR-056</t>
        </is>
      </c>
      <c r="I129" s="12" t="inlineStr">
        <is>
          <t>Reservation Notes and Tasks</t>
        </is>
      </c>
      <c r="J129" s="12" t="inlineStr">
        <is>
          <t>Primary Workflow</t>
        </is>
      </c>
      <c r="K129" s="12" t="inlineStr">
        <is>
          <t>Reservation Manager</t>
        </is>
      </c>
      <c r="L129" s="12" t="inlineStr">
        <is>
          <t>As a Reservation Manager, I want to list, search, filter, view, create, edit, cancel/delete under policy, export in Reservation Notes and Tasks, so that the notes &amp; tasks process is completed accurately without duplicate or inconsistent records.</t>
        </is>
      </c>
      <c r="M129" s="12" t="inlineStr">
        <is>
          <t>Enable reservations users to manage notes &amp; tasks through the Reservation Notes and Tasks workflow with real-time status, validations and traceability.</t>
        </is>
      </c>
      <c r="N129" s="12" t="inlineStr">
        <is>
          <t>View access confirmed; required masters and linked records exist; Rooms, Rates, Guests, Payments services are available; approval limit is valid.</t>
        </is>
      </c>
      <c r="O12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reservation notes and tasks workflow; invalid or conflicting actions are blocked with clear messages; saved changes appear in related screens; sensitive changes are auditable.</t>
        </is>
      </c>
      <c r="P129" s="12" t="inlineStr">
        <is>
          <t>Duplicate submission is idempotent; stale data returns a refresh/conflict message; invalid status transitions are blocked; partial failure rolls back without orphan records.</t>
        </is>
      </c>
      <c r="Q129" s="12" t="inlineStr">
        <is>
          <t>Tenant/property scope; required fields; optimistic locking; timezone-safe dates; reason mandatory for overrides; availability and overlap check; status-transition rules; cancellation policy</t>
        </is>
      </c>
      <c r="R129" s="12" t="inlineStr">
        <is>
          <t>Rooms, Rates, Guests, Payments</t>
        </is>
      </c>
      <c r="S129" s="12" t="inlineStr">
        <is>
          <t>GET, POST, PUT/PATCH, DELETE /api/v1/reservation-notes-and-tasks; lookup, validation and audit endpoints; idempotency for financial/booking writes; entities: reservations, reservation_guests, reservation_items, deposits</t>
        </is>
      </c>
      <c r="T129" s="12" t="inlineStr">
        <is>
          <t>Must Have</t>
        </is>
      </c>
      <c r="U129" s="12" t="inlineStr">
        <is>
          <t>MVP</t>
        </is>
      </c>
      <c r="V129" s="34" t="n">
        <v>8</v>
      </c>
      <c r="W129" s="12" t="inlineStr">
        <is>
          <t>S05-S07</t>
        </is>
      </c>
      <c r="X129" s="12" t="inlineStr">
        <is>
          <t>Backlog</t>
        </is>
      </c>
      <c r="Y129" s="13">
        <f>IF(X129="Done",1,IF(X129="QA",0.9,IF(X129="Code Review",0.75,IF(X129="In Development",0.5,IF(X129="Ready",0.1,0)))))</f>
        <v/>
      </c>
      <c r="Z129" s="12" t="n"/>
      <c r="AA129" s="12" t="inlineStr">
        <is>
          <t>TC-056-B</t>
        </is>
      </c>
      <c r="AB129" s="12" t="inlineStr">
        <is>
          <t>Approved screen design; story reviewed with Reservation Manager; dependencies, API contract, role permissions and test data identified.</t>
        </is>
      </c>
      <c r="AC129" s="12" t="inlineStr">
        <is>
          <t>Code reviewed; unit, API, UI, RBAC and integration tests pass; accessibility and responsive states verified; audit evidence captured; product owner accepts in staging.</t>
        </is>
      </c>
      <c r="AD129" s="12" t="n"/>
    </row>
    <row r="130" ht="78" customHeight="1" s="43">
      <c r="A130" s="11" t="n">
        <v>1</v>
      </c>
      <c r="B130" s="11" t="n">
        <v>126</v>
      </c>
      <c r="C130" s="12" t="inlineStr">
        <is>
          <t>US-056-03</t>
        </is>
      </c>
      <c r="D130" s="12" t="inlineStr">
        <is>
          <t>Control permissions, overrides and audit for Reservation Notes and Tasks</t>
        </is>
      </c>
      <c r="E130" s="12" t="inlineStr">
        <is>
          <t>EPIC-03</t>
        </is>
      </c>
      <c r="F130" s="12" t="inlineStr">
        <is>
          <t>Reservations</t>
        </is>
      </c>
      <c r="G130" s="12" t="inlineStr">
        <is>
          <t>Notes &amp; Tasks</t>
        </is>
      </c>
      <c r="H130" s="11" t="inlineStr">
        <is>
          <t>SCR-056</t>
        </is>
      </c>
      <c r="I130" s="12" t="inlineStr">
        <is>
          <t>Reservation Notes and Tasks</t>
        </is>
      </c>
      <c r="J130" s="12" t="inlineStr">
        <is>
          <t>Security / Exceptions</t>
        </is>
      </c>
      <c r="K130" s="12" t="inlineStr">
        <is>
          <t>Reservation Manager</t>
        </is>
      </c>
      <c r="L130" s="12" t="inlineStr">
        <is>
          <t>As a department supervisor or auditor, I want sensitive actions in Reservation Notes and Tasks to follow permissions, approval limits and audit rules, so that resort operations remain secure, compliant and traceable.</t>
        </is>
      </c>
      <c r="M130" s="12" t="inlineStr">
        <is>
          <t>Reduces fraud, privacy leakage, unauthorized overrides and unresolved operational disputes.</t>
        </is>
      </c>
      <c r="N130" s="12" t="inlineStr">
        <is>
          <t>Roles, permissions, approval hierarchy and audit service are configured; allowed and denied test users exist.</t>
        </is>
      </c>
      <c r="O13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30" s="12" t="inlineStr">
        <is>
          <t>Tampered IDs, expired sessions, approval-limit violations and cross-tenant requests are rejected; secrets and sensitive guest/payment fields are never written to logs.</t>
        </is>
      </c>
      <c r="Q130" s="12" t="inlineStr">
        <is>
          <t>Tenant/property scope; required fields; optimistic locking; timezone-safe dates; reason mandatory for overrides; availability and overlap check; status-transition rules; cancellation policy</t>
        </is>
      </c>
      <c r="R130" s="12" t="inlineStr">
        <is>
          <t>Rooms, Rates, Guests, Payments</t>
        </is>
      </c>
      <c r="S130" s="12" t="inlineStr">
        <is>
          <t>GET, POST, PUT/PATCH, DELETE /api/v1/reservation-notes-and-tasks; lookup, validation and audit endpoints; idempotency for financial/booking writes; entities: reservations, reservation_guests, reservation_items, deposits</t>
        </is>
      </c>
      <c r="T130" s="12" t="inlineStr">
        <is>
          <t>Must Have</t>
        </is>
      </c>
      <c r="U130" s="12" t="inlineStr">
        <is>
          <t>MVP</t>
        </is>
      </c>
      <c r="V130" s="34" t="n">
        <v>5</v>
      </c>
      <c r="W130" s="12" t="inlineStr">
        <is>
          <t>S05-S07</t>
        </is>
      </c>
      <c r="X130" s="12" t="inlineStr">
        <is>
          <t>Backlog</t>
        </is>
      </c>
      <c r="Y130" s="13">
        <f>IF(X130="Done",1,IF(X130="QA",0.9,IF(X130="Code Review",0.75,IF(X130="In Development",0.5,IF(X130="Ready",0.1,0)))))</f>
        <v/>
      </c>
      <c r="Z130" s="12" t="n"/>
      <c r="AA130" s="12" t="inlineStr">
        <is>
          <t>TC-056-C</t>
        </is>
      </c>
      <c r="AB130" s="12" t="inlineStr">
        <is>
          <t>Approved screen design; story reviewed with Reservation Manager; dependencies, API contract, role permissions and test data identified.</t>
        </is>
      </c>
      <c r="AC130" s="12" t="inlineStr">
        <is>
          <t>Code reviewed; unit, API, UI, RBAC and integration tests pass; accessibility and responsive states verified; audit evidence captured; product owner accepts in staging.</t>
        </is>
      </c>
      <c r="AD130" s="12" t="n"/>
    </row>
    <row r="131" ht="78" customHeight="1" s="43">
      <c r="A131" s="11" t="n">
        <v>1</v>
      </c>
      <c r="B131" s="11" t="n">
        <v>127</v>
      </c>
      <c r="C131" s="12" t="inlineStr">
        <is>
          <t>US-057-01</t>
        </is>
      </c>
      <c r="D131" s="12" t="inlineStr">
        <is>
          <t>View and find information in Reservation Add-ons</t>
        </is>
      </c>
      <c r="E131" s="12" t="inlineStr">
        <is>
          <t>EPIC-03</t>
        </is>
      </c>
      <c r="F131" s="12" t="inlineStr">
        <is>
          <t>Reservations</t>
        </is>
      </c>
      <c r="G131" s="12" t="inlineStr">
        <is>
          <t>Ancillary Sales</t>
        </is>
      </c>
      <c r="H131" s="11" t="inlineStr">
        <is>
          <t>SCR-057</t>
        </is>
      </c>
      <c r="I131" s="12" t="inlineStr">
        <is>
          <t>Reservation Add-ons</t>
        </is>
      </c>
      <c r="J131" s="12" t="inlineStr">
        <is>
          <t>View / Search</t>
        </is>
      </c>
      <c r="K131" s="12" t="inlineStr">
        <is>
          <t>Reservation Manager</t>
        </is>
      </c>
      <c r="L131" s="12" t="inlineStr">
        <is>
          <t>As a Reservation Manager, I want to open Reservation Add-ons and find relevant records using search, filters and sorting, so that I can make accurate operational decisions.</t>
        </is>
      </c>
      <c r="M131" s="12" t="inlineStr">
        <is>
          <t>Provides timely visibility for ancillary sales and reduces manual lookup effort.</t>
        </is>
      </c>
      <c r="N131" s="12" t="inlineStr">
        <is>
          <t>Authenticated user; active property; view permission for Reservations; Rooms, Rates, Guests, Payments data available.</t>
        </is>
      </c>
      <c r="O131" s="12" t="inlineStr">
        <is>
          <t>Given I am authenticated as Reservation Manager with access to the selected property, when I open Reservation Add-ons,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31" s="12" t="inlineStr">
        <is>
          <t>Cross-property data never appears; unauthorized fields are masked; invalid filters do not break the screen; unavailable services return a controlled message.</t>
        </is>
      </c>
      <c r="Q131" s="12" t="inlineStr">
        <is>
          <t>Tenant/property scope; required fields; optimistic locking; timezone-safe dates; reason mandatory for overrides; availability and overlap check; status-transition rules; cancellation policy</t>
        </is>
      </c>
      <c r="R131" s="12" t="inlineStr">
        <is>
          <t>Rooms, Rates, Guests, Payments</t>
        </is>
      </c>
      <c r="S131" s="12" t="inlineStr">
        <is>
          <t>GET, POST, PUT/PATCH, DELETE /api/v1/reservation-add-ons; lookup, validation and audit endpoints; idempotency for financial/booking writes; entities: reservations, reservation_guests, reservation_items, deposits</t>
        </is>
      </c>
      <c r="T131" s="12" t="inlineStr">
        <is>
          <t>Must Have</t>
        </is>
      </c>
      <c r="U131" s="12" t="inlineStr">
        <is>
          <t>MVP</t>
        </is>
      </c>
      <c r="V131" s="34" t="n">
        <v>3</v>
      </c>
      <c r="W131" s="12" t="inlineStr">
        <is>
          <t>S05-S07</t>
        </is>
      </c>
      <c r="X131" s="12" t="inlineStr">
        <is>
          <t>Backlog</t>
        </is>
      </c>
      <c r="Y131" s="13">
        <f>IF(X131="Done",1,IF(X131="QA",0.9,IF(X131="Code Review",0.75,IF(X131="In Development",0.5,IF(X131="Ready",0.1,0)))))</f>
        <v/>
      </c>
      <c r="Z131" s="12" t="n"/>
      <c r="AA131" s="12" t="inlineStr">
        <is>
          <t>TC-057-A</t>
        </is>
      </c>
      <c r="AB131" s="12" t="inlineStr">
        <is>
          <t>Approved screen design; story reviewed with Reservation Manager; dependencies, API contract, role permissions and test data identified.</t>
        </is>
      </c>
      <c r="AC131" s="12" t="inlineStr">
        <is>
          <t>Code reviewed; unit, API, UI, RBAC and integration tests pass; accessibility and responsive states verified; audit evidence captured; product owner accepts in staging.</t>
        </is>
      </c>
      <c r="AD131" s="12" t="n"/>
    </row>
    <row r="132" ht="78" customHeight="1" s="43">
      <c r="A132" s="11" t="n">
        <v>1</v>
      </c>
      <c r="B132" s="11" t="n">
        <v>128</v>
      </c>
      <c r="C132" s="12" t="inlineStr">
        <is>
          <t>US-057-02</t>
        </is>
      </c>
      <c r="D132" s="12" t="inlineStr">
        <is>
          <t>Complete the primary Reservation Add-ons workflow</t>
        </is>
      </c>
      <c r="E132" s="12" t="inlineStr">
        <is>
          <t>EPIC-03</t>
        </is>
      </c>
      <c r="F132" s="12" t="inlineStr">
        <is>
          <t>Reservations</t>
        </is>
      </c>
      <c r="G132" s="12" t="inlineStr">
        <is>
          <t>Ancillary Sales</t>
        </is>
      </c>
      <c r="H132" s="11" t="inlineStr">
        <is>
          <t>SCR-057</t>
        </is>
      </c>
      <c r="I132" s="12" t="inlineStr">
        <is>
          <t>Reservation Add-ons</t>
        </is>
      </c>
      <c r="J132" s="12" t="inlineStr">
        <is>
          <t>Primary Workflow</t>
        </is>
      </c>
      <c r="K132" s="12" t="inlineStr">
        <is>
          <t>Reservation Manager</t>
        </is>
      </c>
      <c r="L132" s="12" t="inlineStr">
        <is>
          <t>As a Reservation Manager, I want to list, search, filter, view, create, edit, cancel/delete under policy, export in Reservation Add-ons, so that the ancillary sales process is completed accurately without duplicate or inconsistent records.</t>
        </is>
      </c>
      <c r="M132" s="12" t="inlineStr">
        <is>
          <t>Enable reservations users to manage ancillary sales through the Reservation Add-ons workflow with real-time status, validations and traceability.</t>
        </is>
      </c>
      <c r="N132" s="12" t="inlineStr">
        <is>
          <t>View access confirmed; required masters and linked records exist; Rooms, Rates, Guests, Payments services are available; approval limit is valid.</t>
        </is>
      </c>
      <c r="O13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reservation add-ons workflow; invalid or conflicting actions are blocked with clear messages; saved changes appear in related screens; sensitive changes are auditable.</t>
        </is>
      </c>
      <c r="P132" s="12" t="inlineStr">
        <is>
          <t>Duplicate submission is idempotent; stale data returns a refresh/conflict message; invalid status transitions are blocked; partial failure rolls back without orphan records.</t>
        </is>
      </c>
      <c r="Q132" s="12" t="inlineStr">
        <is>
          <t>Tenant/property scope; required fields; optimistic locking; timezone-safe dates; reason mandatory for overrides; availability and overlap check; status-transition rules; cancellation policy</t>
        </is>
      </c>
      <c r="R132" s="12" t="inlineStr">
        <is>
          <t>Rooms, Rates, Guests, Payments</t>
        </is>
      </c>
      <c r="S132" s="12" t="inlineStr">
        <is>
          <t>GET, POST, PUT/PATCH, DELETE /api/v1/reservation-add-ons; lookup, validation and audit endpoints; idempotency for financial/booking writes; entities: reservations, reservation_guests, reservation_items, deposits</t>
        </is>
      </c>
      <c r="T132" s="12" t="inlineStr">
        <is>
          <t>Must Have</t>
        </is>
      </c>
      <c r="U132" s="12" t="inlineStr">
        <is>
          <t>MVP</t>
        </is>
      </c>
      <c r="V132" s="34" t="n">
        <v>8</v>
      </c>
      <c r="W132" s="12" t="inlineStr">
        <is>
          <t>S05-S07</t>
        </is>
      </c>
      <c r="X132" s="12" t="inlineStr">
        <is>
          <t>Backlog</t>
        </is>
      </c>
      <c r="Y132" s="13">
        <f>IF(X132="Done",1,IF(X132="QA",0.9,IF(X132="Code Review",0.75,IF(X132="In Development",0.5,IF(X132="Ready",0.1,0)))))</f>
        <v/>
      </c>
      <c r="Z132" s="12" t="n"/>
      <c r="AA132" s="12" t="inlineStr">
        <is>
          <t>TC-057-B</t>
        </is>
      </c>
      <c r="AB132" s="12" t="inlineStr">
        <is>
          <t>Approved screen design; story reviewed with Reservation Manager; dependencies, API contract, role permissions and test data identified.</t>
        </is>
      </c>
      <c r="AC132" s="12" t="inlineStr">
        <is>
          <t>Code reviewed; unit, API, UI, RBAC and integration tests pass; accessibility and responsive states verified; audit evidence captured; product owner accepts in staging.</t>
        </is>
      </c>
      <c r="AD132" s="12" t="n"/>
    </row>
    <row r="133" ht="78" customHeight="1" s="43">
      <c r="A133" s="11" t="n">
        <v>1</v>
      </c>
      <c r="B133" s="11" t="n">
        <v>129</v>
      </c>
      <c r="C133" s="12" t="inlineStr">
        <is>
          <t>US-057-03</t>
        </is>
      </c>
      <c r="D133" s="12" t="inlineStr">
        <is>
          <t>Control permissions, overrides and audit for Reservation Add-ons</t>
        </is>
      </c>
      <c r="E133" s="12" t="inlineStr">
        <is>
          <t>EPIC-03</t>
        </is>
      </c>
      <c r="F133" s="12" t="inlineStr">
        <is>
          <t>Reservations</t>
        </is>
      </c>
      <c r="G133" s="12" t="inlineStr">
        <is>
          <t>Ancillary Sales</t>
        </is>
      </c>
      <c r="H133" s="11" t="inlineStr">
        <is>
          <t>SCR-057</t>
        </is>
      </c>
      <c r="I133" s="12" t="inlineStr">
        <is>
          <t>Reservation Add-ons</t>
        </is>
      </c>
      <c r="J133" s="12" t="inlineStr">
        <is>
          <t>Security / Exceptions</t>
        </is>
      </c>
      <c r="K133" s="12" t="inlineStr">
        <is>
          <t>Reservation Manager</t>
        </is>
      </c>
      <c r="L133" s="12" t="inlineStr">
        <is>
          <t>As a department supervisor or auditor, I want sensitive actions in Reservation Add-ons to follow permissions, approval limits and audit rules, so that resort operations remain secure, compliant and traceable.</t>
        </is>
      </c>
      <c r="M133" s="12" t="inlineStr">
        <is>
          <t>Reduces fraud, privacy leakage, unauthorized overrides and unresolved operational disputes.</t>
        </is>
      </c>
      <c r="N133" s="12" t="inlineStr">
        <is>
          <t>Roles, permissions, approval hierarchy and audit service are configured; allowed and denied test users exist.</t>
        </is>
      </c>
      <c r="O13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33" s="12" t="inlineStr">
        <is>
          <t>Tampered IDs, expired sessions, approval-limit violations and cross-tenant requests are rejected; secrets and sensitive guest/payment fields are never written to logs.</t>
        </is>
      </c>
      <c r="Q133" s="12" t="inlineStr">
        <is>
          <t>Tenant/property scope; required fields; optimistic locking; timezone-safe dates; reason mandatory for overrides; availability and overlap check; status-transition rules; cancellation policy</t>
        </is>
      </c>
      <c r="R133" s="12" t="inlineStr">
        <is>
          <t>Rooms, Rates, Guests, Payments</t>
        </is>
      </c>
      <c r="S133" s="12" t="inlineStr">
        <is>
          <t>GET, POST, PUT/PATCH, DELETE /api/v1/reservation-add-ons; lookup, validation and audit endpoints; idempotency for financial/booking writes; entities: reservations, reservation_guests, reservation_items, deposits</t>
        </is>
      </c>
      <c r="T133" s="12" t="inlineStr">
        <is>
          <t>Must Have</t>
        </is>
      </c>
      <c r="U133" s="12" t="inlineStr">
        <is>
          <t>MVP</t>
        </is>
      </c>
      <c r="V133" s="34" t="n">
        <v>5</v>
      </c>
      <c r="W133" s="12" t="inlineStr">
        <is>
          <t>S05-S07</t>
        </is>
      </c>
      <c r="X133" s="12" t="inlineStr">
        <is>
          <t>Backlog</t>
        </is>
      </c>
      <c r="Y133" s="13">
        <f>IF(X133="Done",1,IF(X133="QA",0.9,IF(X133="Code Review",0.75,IF(X133="In Development",0.5,IF(X133="Ready",0.1,0)))))</f>
        <v/>
      </c>
      <c r="Z133" s="12" t="n"/>
      <c r="AA133" s="12" t="inlineStr">
        <is>
          <t>TC-057-C</t>
        </is>
      </c>
      <c r="AB133" s="12" t="inlineStr">
        <is>
          <t>Approved screen design; story reviewed with Reservation Manager; dependencies, API contract, role permissions and test data identified.</t>
        </is>
      </c>
      <c r="AC133" s="12" t="inlineStr">
        <is>
          <t>Code reviewed; unit, API, UI, RBAC and integration tests pass; accessibility and responsive states verified; audit evidence captured; product owner accepts in staging.</t>
        </is>
      </c>
      <c r="AD133" s="12" t="n"/>
    </row>
    <row r="134" ht="78" customHeight="1" s="43">
      <c r="A134" s="11" t="n">
        <v>1</v>
      </c>
      <c r="B134" s="11" t="n">
        <v>130</v>
      </c>
      <c r="C134" s="12" t="inlineStr">
        <is>
          <t>US-114-01</t>
        </is>
      </c>
      <c r="D134" s="12" t="inlineStr">
        <is>
          <t>View and find information in Guest Folio Adjustment</t>
        </is>
      </c>
      <c r="E134" s="12" t="inlineStr">
        <is>
          <t>EPIC-16</t>
        </is>
      </c>
      <c r="F134" s="12" t="inlineStr">
        <is>
          <t>Finance</t>
        </is>
      </c>
      <c r="G134" s="12" t="inlineStr">
        <is>
          <t>Folio Control</t>
        </is>
      </c>
      <c r="H134" s="11" t="inlineStr">
        <is>
          <t>SCR-114</t>
        </is>
      </c>
      <c r="I134" s="12" t="inlineStr">
        <is>
          <t>Guest Folio Adjustment</t>
        </is>
      </c>
      <c r="J134" s="12" t="inlineStr">
        <is>
          <t>View / Search</t>
        </is>
      </c>
      <c r="K134" s="12" t="inlineStr">
        <is>
          <t>Finance Manager</t>
        </is>
      </c>
      <c r="L134" s="12" t="inlineStr">
        <is>
          <t>As a Finance Manager, I want to open Guest Folio Adjustment and find relevant records using search, filters and sorting, so that I can make accurate operational decisions.</t>
        </is>
      </c>
      <c r="M134" s="12" t="inlineStr">
        <is>
          <t>Provides timely visibility for folio control and reduces manual lookup effort.</t>
        </is>
      </c>
      <c r="N134" s="12" t="inlineStr">
        <is>
          <t>Authenticated user; active property; view permission for Finance; All revenue modules data available.</t>
        </is>
      </c>
      <c r="O134" s="12" t="inlineStr">
        <is>
          <t>Given I am authenticated as Finance Manager with access to the selected property, when I open Guest Folio Adjustment,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34" s="12" t="inlineStr">
        <is>
          <t>Cross-property data never appears; unauthorized fields are masked; invalid filters do not break the screen; unavailable services return a controlled message.</t>
        </is>
      </c>
      <c r="Q134" s="12" t="inlineStr">
        <is>
          <t>Tenant/property scope; required fields; optimistic locking; timezone-safe dates; reason mandatory for overrides; currency precision; tax/rate totals; approval limit; no unbalanced or duplicate posting</t>
        </is>
      </c>
      <c r="R134" s="12" t="inlineStr">
        <is>
          <t>All revenue modules</t>
        </is>
      </c>
      <c r="S134" s="12" t="inlineStr">
        <is>
          <t>GET, POST, PUT/PATCH, DELETE /api/v1/guest-folio-adjustment; lookup, validation and audit endpoints; idempotency for financial/booking writes; entities: folios, payments, refunds, invoices, credit_notes, cash_drawers, taxes, receivables</t>
        </is>
      </c>
      <c r="T134" s="12" t="inlineStr">
        <is>
          <t>Must Have</t>
        </is>
      </c>
      <c r="U134" s="12" t="inlineStr">
        <is>
          <t>MVP</t>
        </is>
      </c>
      <c r="V134" s="34" t="n">
        <v>3</v>
      </c>
      <c r="W134" s="12" t="inlineStr">
        <is>
          <t>S05-S07</t>
        </is>
      </c>
      <c r="X134" s="12" t="inlineStr">
        <is>
          <t>Done</t>
        </is>
      </c>
      <c r="Y134" s="13" t="n">
        <v>1</v>
      </c>
      <c r="Z134" s="12" t="n"/>
      <c r="AA134" s="12" t="inlineStr">
        <is>
          <t>TC-114-A</t>
        </is>
      </c>
      <c r="AB134" s="12" t="inlineStr">
        <is>
          <t>Approved screen design; story reviewed with Finance Manager; dependencies, API contract, role permissions and test data identified.</t>
        </is>
      </c>
      <c r="AC134" s="12" t="inlineStr">
        <is>
          <t>Code reviewed; unit, API, UI, RBAC and integration tests pass; accessibility and responsive states verified; audit evidence captured; product owner accepts in staging.</t>
        </is>
      </c>
      <c r="AD134" s="12" t="inlineStr">
        <is>
          <t>Guest Folio Adjustment (mockup 114) at /payments/folios/{id}/adjust, reached from the payment detail panel on screen 036. Three context panels — Guest &amp; Reservation (name, booking, stay dates, room type, room, occupancy, booking status), Folio Summary (folio no, type, status, total charges, total payments, adjustments, balance) and Approval Rules read from the property's live policy rather than hardcoded. Posted Charges table (date, description, department, amount, tax, total, status) with single-select; a charge that already carries a standing adjustment is greyed and says why. GET /folios/{id}/adjustment-context. Verified in Chrome end to end on a real folio; the summary arithmetic reconciles (43,485 - 15,500 - 13,000 = 14,985).</t>
        </is>
      </c>
    </row>
    <row r="135" ht="78" customHeight="1" s="43">
      <c r="A135" s="11" t="n">
        <v>1</v>
      </c>
      <c r="B135" s="11" t="n">
        <v>131</v>
      </c>
      <c r="C135" s="12" t="inlineStr">
        <is>
          <t>US-114-02</t>
        </is>
      </c>
      <c r="D135" s="12" t="inlineStr">
        <is>
          <t>Complete the primary Guest Folio Adjustment workflow</t>
        </is>
      </c>
      <c r="E135" s="12" t="inlineStr">
        <is>
          <t>EPIC-16</t>
        </is>
      </c>
      <c r="F135" s="12" t="inlineStr">
        <is>
          <t>Finance</t>
        </is>
      </c>
      <c r="G135" s="12" t="inlineStr">
        <is>
          <t>Folio Control</t>
        </is>
      </c>
      <c r="H135" s="11" t="inlineStr">
        <is>
          <t>SCR-114</t>
        </is>
      </c>
      <c r="I135" s="12" t="inlineStr">
        <is>
          <t>Guest Folio Adjustment</t>
        </is>
      </c>
      <c r="J135" s="12" t="inlineStr">
        <is>
          <t>Primary Workflow</t>
        </is>
      </c>
      <c r="K135" s="12" t="inlineStr">
        <is>
          <t>Finance Manager</t>
        </is>
      </c>
      <c r="L135" s="12" t="inlineStr">
        <is>
          <t>As a Finance Manager, I want to list, search, filter, view, create, edit, cancel/delete under policy, export in Guest Folio Adjustment, so that the folio control process is completed accurately without duplicate or inconsistent records.</t>
        </is>
      </c>
      <c r="M135" s="12" t="inlineStr">
        <is>
          <t>Enable finance users to manage folio control through the Guest Folio Adjustment workflow with real-time status, validations and traceability.</t>
        </is>
      </c>
      <c r="N135" s="12" t="inlineStr">
        <is>
          <t>View access confirmed; required masters and linked records exist; All revenue modules services are available; approval limit is valid.</t>
        </is>
      </c>
      <c r="O13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folio adjustment workflow; invalid or conflicting actions are blocked with clear messages; saved changes appear in related screens; sensitive changes are auditable.</t>
        </is>
      </c>
      <c r="P135" s="12" t="inlineStr">
        <is>
          <t>Duplicate submission is idempotent; stale data returns a refresh/conflict message; invalid status transitions are blocked; partial failure rolls back without orphan records.</t>
        </is>
      </c>
      <c r="Q135" s="12" t="inlineStr">
        <is>
          <t>Tenant/property scope; required fields; optimistic locking; timezone-safe dates; reason mandatory for overrides; currency precision; tax/rate totals; approval limit; no unbalanced or duplicate posting</t>
        </is>
      </c>
      <c r="R135" s="12" t="inlineStr">
        <is>
          <t>All revenue modules</t>
        </is>
      </c>
      <c r="S135" s="12" t="inlineStr">
        <is>
          <t>GET, POST, PUT/PATCH, DELETE /api/v1/guest-folio-adjustment; lookup, validation and audit endpoints; idempotency for financial/booking writes; entities: folios, payments, refunds, invoices, credit_notes, cash_drawers, taxes, receivables</t>
        </is>
      </c>
      <c r="T135" s="12" t="inlineStr">
        <is>
          <t>Must Have</t>
        </is>
      </c>
      <c r="U135" s="12" t="inlineStr">
        <is>
          <t>MVP</t>
        </is>
      </c>
      <c r="V135" s="34" t="n">
        <v>8</v>
      </c>
      <c r="W135" s="12" t="inlineStr">
        <is>
          <t>S05-S07</t>
        </is>
      </c>
      <c r="X135" s="12" t="inlineStr">
        <is>
          <t>Done</t>
        </is>
      </c>
      <c r="Y135" s="13" t="n">
        <v>1</v>
      </c>
      <c r="Z135" s="12" t="n"/>
      <c r="AA135" s="12" t="inlineStr">
        <is>
          <t>TC-114-B</t>
        </is>
      </c>
      <c r="AB135" s="12" t="inlineStr">
        <is>
          <t>Approved screen design; story reviewed with Finance Manager; dependencies, API contract, role permissions and test data identified.</t>
        </is>
      </c>
      <c r="AC135" s="12" t="inlineStr">
        <is>
          <t>Code reviewed; unit, API, UI, RBAC and integration tests pass; accessibility and responsive states verified; audit evidence captured; product owner accepts in staging.</t>
        </is>
      </c>
      <c r="AD135" s="12" t="inlineStr">
        <is>
          <t>Full lifecycle built and verified: raise -&gt; route by policy -&gt; post -&gt; reverse. New table finance.folio_adjustments (migration 0006) holding WHY a credit exists — which charge, whose reason, what remarks, what evidence, which policy, who signed it, when it posted. posted_entry_id stays null until the credit really exists, so a pending adjustment cannot silently move the balance. Posting writes ONE credit folio_entry with reversal_of_id pointing at the original charge; nothing is ever edited or deleted. Reversing posts a debit back and keeps both the adjustment and its credit. Tax travels with the charge: removing part of a taxed line removes the same proportion of its tax, and adjust_tax records whether the operator chose that. A partial unique index allows only ONE open adjustment per charge. Evidence upload (JPEG/PNG/WebP/PDF, 8MB) to MinIO — this required adding boto3 and python-multipart to the finance service and rebuilding its image. Migration 0007 fixed ck_adj_posted, which as first written made reversal impossible by demanding a reversed adjustment forget the entry it posted. Verified: 422 over the charge amount, 422 on an unknown reason, 409 on a second open adjustment, 409 on posting an unapproved one, 409 on posting or reversing twice. NOT DONE: export (listed among this story's verbs). A closed folio is refused with a message pointing at the credit note (SCR-116), and adjustments are barred beyond 30 days after checkout. 2026-09-10 EXPORT ADDED, story closed. Was held at Integration purely for want of an export. Built on a single shared helper (frontend/src/lib/csv.ts) rather than a fifth inline copy: four screens each growing their own CSV writer is four chances for the quoting to differ, and a comma inside a guest address silently splitting a column is a bug nobody reports because the file merely looks odd. RFC 4180 quoting (inner quotes doubled), CRLF rows and a UTF-8 BOM so Excel does not mangle the rupee sign or accented names. Verified by capturing the real Blob in Chrome, not by assuming the click worked. Adjustments export the full approval trail: who raised it, the charge, amount and tax, reason and remarks, whether approval was required, who decided and when, the decision comment, and who posted it. That is the record an auditor asks for, which the screen shows but could not hand over.
[14 Sep 2026 defect sweep] DEFECT FOUND AND FIXED. An adjustment credited amount + tax_amount, which is right for exclusive tax -- charge and its separate tax debit both reverse -- and wrong for inclusive, where the tax is already inside the amount. A 1,050 charge containing 50 of tax produced a 1,100 credit: the guest 50 up and the folio reconciling to nothing. Root cause was deeper than the formula: folio_entry_taxes recorded the amount but not the treatment, so nothing downstream could tell the two apart. Migration 0026_tax_apply_as adds apply_as with a CHECK matching tax_rules; TaxLine carries it; both adjustment lookups now sum only the exclusive share. NO BACKFILL NEEDED HERE -- this deployment has zero tax rules and zero tax lines, so nothing historical is affected; a deployment with history should decide deliberately rather than inherit the 'exclusive' default.</t>
        </is>
      </c>
    </row>
    <row r="136" ht="78" customHeight="1" s="43">
      <c r="A136" s="11" t="n">
        <v>1</v>
      </c>
      <c r="B136" s="11" t="n">
        <v>132</v>
      </c>
      <c r="C136" s="12" t="inlineStr">
        <is>
          <t>US-114-03</t>
        </is>
      </c>
      <c r="D136" s="12" t="inlineStr">
        <is>
          <t>Control permissions, overrides and audit for Guest Folio Adjustment</t>
        </is>
      </c>
      <c r="E136" s="12" t="inlineStr">
        <is>
          <t>EPIC-16</t>
        </is>
      </c>
      <c r="F136" s="12" t="inlineStr">
        <is>
          <t>Finance</t>
        </is>
      </c>
      <c r="G136" s="12" t="inlineStr">
        <is>
          <t>Folio Control</t>
        </is>
      </c>
      <c r="H136" s="11" t="inlineStr">
        <is>
          <t>SCR-114</t>
        </is>
      </c>
      <c r="I136" s="12" t="inlineStr">
        <is>
          <t>Guest Folio Adjustment</t>
        </is>
      </c>
      <c r="J136" s="12" t="inlineStr">
        <is>
          <t>Security / Exceptions</t>
        </is>
      </c>
      <c r="K136" s="12" t="inlineStr">
        <is>
          <t>Finance Manager</t>
        </is>
      </c>
      <c r="L136" s="12" t="inlineStr">
        <is>
          <t>As a department supervisor or auditor, I want sensitive actions in Guest Folio Adjustment to follow permissions, approval limits and audit rules, so that resort operations remain secure, compliant and traceable.</t>
        </is>
      </c>
      <c r="M136" s="12" t="inlineStr">
        <is>
          <t>Reduces fraud, privacy leakage, unauthorized overrides and unresolved operational disputes.</t>
        </is>
      </c>
      <c r="N136" s="12" t="inlineStr">
        <is>
          <t>Roles, permissions, approval hierarchy and audit service are configured; allowed and denied test users exist.</t>
        </is>
      </c>
      <c r="O13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36" s="12" t="inlineStr">
        <is>
          <t>Tampered IDs, expired sessions, approval-limit violations and cross-tenant requests are rejected; secrets and sensitive guest/payment fields are never written to logs.</t>
        </is>
      </c>
      <c r="Q136" s="12" t="inlineStr">
        <is>
          <t>Tenant/property scope; required fields; optimistic locking; timezone-safe dates; reason mandatory for overrides; currency precision; tax/rate totals; approval limit; no unbalanced or duplicate posting</t>
        </is>
      </c>
      <c r="R136" s="12" t="inlineStr">
        <is>
          <t>All revenue modules</t>
        </is>
      </c>
      <c r="S136" s="12" t="inlineStr">
        <is>
          <t>GET, POST, PUT/PATCH, DELETE /api/v1/guest-folio-adjustment; lookup, validation and audit endpoints; idempotency for financial/booking writes; entities: folios, payments, refunds, invoices, credit_notes, cash_drawers, taxes, receivables</t>
        </is>
      </c>
      <c r="T136" s="12" t="inlineStr">
        <is>
          <t>Must Have</t>
        </is>
      </c>
      <c r="U136" s="12" t="inlineStr">
        <is>
          <t>MVP</t>
        </is>
      </c>
      <c r="V136" s="34" t="n">
        <v>5</v>
      </c>
      <c r="W136" s="12" t="inlineStr">
        <is>
          <t>S05-S07</t>
        </is>
      </c>
      <c r="X136" s="12" t="inlineStr">
        <is>
          <t>Done</t>
        </is>
      </c>
      <c r="Y136" s="13" t="n">
        <v>1</v>
      </c>
      <c r="Z136" s="12" t="n"/>
      <c r="AA136" s="12" t="inlineStr">
        <is>
          <t>TC-114-C</t>
        </is>
      </c>
      <c r="AB136" s="12" t="inlineStr">
        <is>
          <t>Approved screen design; story reviewed with Finance Manager; dependencies, API contract, role permissions and test data identified.</t>
        </is>
      </c>
      <c r="AC136" s="12" t="inlineStr">
        <is>
          <t>Code reviewed; unit, API, UI, RBAC and integration tests pass; accessibility and responsive states verified; audit evidence captured; product owner accepts in staging.</t>
        </is>
      </c>
      <c r="AD136" s="12" t="inlineStr">
        <is>
          <t>THE PREREQUISITE: screen 042 could list and decide approval requests but nothing could ever RAISE one — iam.permissions had approval view/decide/manage and no create. Every screen needing a sign-off could only record the intention and stop, which is why waivers, upgrades and over-threshold cancellations sat in booking-core's tables marked pending_approval with no queue entry. Fixed: chirala_common/approvals.py holds one implementation of the routing rule, used by both the new POST /approvals in iam and directly by finance (same database, one rule, no service-to-service auth for a single insert). Migration 0011_approval_create adds the permission, widens the policy category vocabulary (adjustment, reversal, waiver, upgrade, cancellation) and seeds two finance policies. SECOND DEFECT FOUND: every policy names business roles as approvers but NONE of them held approval.view or approval.decide — only Property IT Administrator did — so the queue was invisible to every manager and the policies routed into nothing; migration 0012_approval_decide_grants fixes that. Adjustment endpoints are deny-by-default on payments.view/create/edit/cancel. Verified live: an adjustment over 10,000 reached the 042 queue, its initiator was refused with 409 'Initiator cannot approve their own request', a different manager (vikram.singh) approved it, and only then would it post. A request cleared by the threshold is attributed to 'policy', not to the person who raised it. Audit events for folio_adjustment.raised/posted/reversed/evidence_attached plus approval.requested/auto_cleared/approved.</t>
        </is>
      </c>
    </row>
    <row r="137" ht="78" customHeight="1" s="43">
      <c r="A137" s="11" t="n">
        <v>1</v>
      </c>
      <c r="B137" s="11" t="n">
        <v>133</v>
      </c>
      <c r="C137" s="12" t="inlineStr">
        <is>
          <t>US-115-01</t>
        </is>
      </c>
      <c r="D137" s="12" t="inlineStr">
        <is>
          <t>View and find information in Payment Details and Reversal</t>
        </is>
      </c>
      <c r="E137" s="12" t="inlineStr">
        <is>
          <t>EPIC-16</t>
        </is>
      </c>
      <c r="F137" s="12" t="inlineStr">
        <is>
          <t>Finance</t>
        </is>
      </c>
      <c r="G137" s="12" t="inlineStr">
        <is>
          <t>Payment Control</t>
        </is>
      </c>
      <c r="H137" s="11" t="inlineStr">
        <is>
          <t>SCR-115</t>
        </is>
      </c>
      <c r="I137" s="12" t="inlineStr">
        <is>
          <t>Payment Details and Reversal</t>
        </is>
      </c>
      <c r="J137" s="12" t="inlineStr">
        <is>
          <t>View / Search</t>
        </is>
      </c>
      <c r="K137" s="12" t="inlineStr">
        <is>
          <t>Finance Manager</t>
        </is>
      </c>
      <c r="L137" s="12" t="inlineStr">
        <is>
          <t>As a Finance Manager, I want to open Payment Details and Reversal and find relevant records using search, filters and sorting, so that I can make accurate operational decisions.</t>
        </is>
      </c>
      <c r="M137" s="12" t="inlineStr">
        <is>
          <t>Provides timely visibility for payment control and reduces manual lookup effort.</t>
        </is>
      </c>
      <c r="N137" s="12" t="inlineStr">
        <is>
          <t>Authenticated user; active property; view permission for Finance; All revenue modules data available.</t>
        </is>
      </c>
      <c r="O137" s="12" t="inlineStr">
        <is>
          <t>Given I am authenticated as Finance Manager with access to the selected property, when I open Payment Details and Reversal,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37" s="12" t="inlineStr">
        <is>
          <t>Cross-property data never appears; unauthorized fields are masked; invalid filters do not break the screen; unavailable services return a controlled message.</t>
        </is>
      </c>
      <c r="Q137" s="12" t="inlineStr">
        <is>
          <t>Tenant/property scope; required fields; optimistic locking; timezone-safe dates; reason mandatory for overrides; currency precision; tax/rate totals; approval limit; no unbalanced or duplicate posting</t>
        </is>
      </c>
      <c r="R137" s="12" t="inlineStr">
        <is>
          <t>All revenue modules</t>
        </is>
      </c>
      <c r="S137" s="12" t="inlineStr">
        <is>
          <t>GET, POST/PATCH /api/v1/payment-details-and-reversal; lookup, validation and audit endpoints; idempotency for financial/booking writes; entities: folios, payments, refunds, invoices, credit_notes, cash_drawers, taxes, receivables</t>
        </is>
      </c>
      <c r="T137" s="12" t="inlineStr">
        <is>
          <t>Must Have</t>
        </is>
      </c>
      <c r="U137" s="12" t="inlineStr">
        <is>
          <t>MVP</t>
        </is>
      </c>
      <c r="V137" s="34" t="n">
        <v>3</v>
      </c>
      <c r="W137" s="12" t="inlineStr">
        <is>
          <t>S05-S07</t>
        </is>
      </c>
      <c r="X137" s="12" t="inlineStr">
        <is>
          <t>Done</t>
        </is>
      </c>
      <c r="Y137" s="13" t="n">
        <v>1</v>
      </c>
      <c r="Z137" s="12" t="n"/>
      <c r="AA137" s="12" t="inlineStr">
        <is>
          <t>TC-115-A</t>
        </is>
      </c>
      <c r="AB137" s="12" t="inlineStr">
        <is>
          <t>Approved screen design; story reviewed with Finance Manager; dependencies, API contract, role permissions and test data identified.</t>
        </is>
      </c>
      <c r="AC137" s="12" t="inlineStr">
        <is>
          <t>Code reviewed; unit, API, UI, RBAC and integration tests pass; accessibility and responsive states verified; audit evidence captured; product owner accepts in staging.</t>
        </is>
      </c>
      <c r="AD137" s="12" t="inlineStr">
        <is>
          <t>Payment Details &amp; Reversal (mockup 115 — note the mockup FILES are swapped: this screen's artwork is in 116_Invoice_And_Credit_Note.png, whose own title reads '115 Payment Details and Reversal'). At /payments/{paymentId}/reverse, reached from the payment detail panel on screen 036. Three context panels: Guest &amp; Payment (guest, booking, room, folio, taken-at, business date, method, reference, source, cashier, notes), Amount (payment taken, already given back, left to give back, folio balance with an 'owed to guest' marker when negative) and Policy, read live from the property's approval policies rather than hardcoded. A Timeline built from the ledger and the reversal record — payment taken, credited to the folio, requested, posted — so it cannot claim an event that left no trace. GET /payments/{id}/reversal-context. Verified in Chrome end to end.</t>
        </is>
      </c>
    </row>
    <row r="138" ht="78" customHeight="1" s="43">
      <c r="A138" s="11" t="n">
        <v>1</v>
      </c>
      <c r="B138" s="11" t="n">
        <v>134</v>
      </c>
      <c r="C138" s="12" t="inlineStr">
        <is>
          <t>US-115-02</t>
        </is>
      </c>
      <c r="D138" s="12" t="inlineStr">
        <is>
          <t>Complete the primary Payment Details and Reversal workflow</t>
        </is>
      </c>
      <c r="E138" s="12" t="inlineStr">
        <is>
          <t>EPIC-16</t>
        </is>
      </c>
      <c r="F138" s="12" t="inlineStr">
        <is>
          <t>Finance</t>
        </is>
      </c>
      <c r="G138" s="12" t="inlineStr">
        <is>
          <t>Payment Control</t>
        </is>
      </c>
      <c r="H138" s="11" t="inlineStr">
        <is>
          <t>SCR-115</t>
        </is>
      </c>
      <c r="I138" s="12" t="inlineStr">
        <is>
          <t>Payment Details and Reversal</t>
        </is>
      </c>
      <c r="J138" s="12" t="inlineStr">
        <is>
          <t>Primary Workflow</t>
        </is>
      </c>
      <c r="K138" s="12" t="inlineStr">
        <is>
          <t>Finance Manager</t>
        </is>
      </c>
      <c r="L138" s="12" t="inlineStr">
        <is>
          <t>As a Finance Manager, I want to search, view, validate, process, reverse with approval in Payment Details and Reversal, so that the payment control process is completed accurately without duplicate or inconsistent records.</t>
        </is>
      </c>
      <c r="M138" s="12" t="inlineStr">
        <is>
          <t>Enable finance users to manage payment control through the Payment Details and Reversal workflow with real-time status, validations and traceability.</t>
        </is>
      </c>
      <c r="N138" s="12" t="inlineStr">
        <is>
          <t>View access confirmed; required masters and linked records exist; All revenue modules services are available; approval limit is valid.</t>
        </is>
      </c>
      <c r="O13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payment details and reversal workflow; invalid or conflicting actions are blocked with clear messages; saved changes appear in related screens; sensitive changes are auditable.</t>
        </is>
      </c>
      <c r="P138" s="12" t="inlineStr">
        <is>
          <t>Duplicate submission is idempotent; stale data returns a refresh/conflict message; invalid status transitions are blocked; partial failure rolls back without orphan records.</t>
        </is>
      </c>
      <c r="Q138" s="12" t="inlineStr">
        <is>
          <t>Tenant/property scope; required fields; optimistic locking; timezone-safe dates; reason mandatory for overrides; currency precision; tax/rate totals; approval limit; no unbalanced or duplicate posting</t>
        </is>
      </c>
      <c r="R138" s="12" t="inlineStr">
        <is>
          <t>All revenue modules</t>
        </is>
      </c>
      <c r="S138" s="12" t="inlineStr">
        <is>
          <t>GET, POST/PATCH /api/v1/payment-details-and-reversal; lookup, validation and audit endpoints; idempotency for financial/booking writes; entities: folios, payments, refunds, invoices, credit_notes, cash_drawers, taxes, receivables</t>
        </is>
      </c>
      <c r="T138" s="12" t="inlineStr">
        <is>
          <t>Must Have</t>
        </is>
      </c>
      <c r="U138" s="12" t="inlineStr">
        <is>
          <t>MVP</t>
        </is>
      </c>
      <c r="V138" s="34" t="n">
        <v>8</v>
      </c>
      <c r="W138" s="12" t="inlineStr">
        <is>
          <t>S05-S07</t>
        </is>
      </c>
      <c r="X138" s="12" t="inlineStr">
        <is>
          <t>Done</t>
        </is>
      </c>
      <c r="Y138" s="13" t="n">
        <v>1</v>
      </c>
      <c r="Z138" s="12" t="n"/>
      <c r="AA138" s="12" t="inlineStr">
        <is>
          <t>TC-115-B</t>
        </is>
      </c>
      <c r="AB138" s="12" t="inlineStr">
        <is>
          <t>Approved screen design; story reviewed with Finance Manager; dependencies, API contract, role permissions and test data identified.</t>
        </is>
      </c>
      <c r="AC138" s="12" t="inlineStr">
        <is>
          <t>Code reviewed; unit, API, UI, RBAC and integration tests pass; accessibility and responsive states verified; audit evidence captured; product owner accepts in staging.</t>
        </is>
      </c>
      <c r="AD138" s="12" t="inlineStr">
        <is>
          <t>Void / Refund / Reversal all built and verified. New table finance.payment_reversals (migration 0008) holding the REQUEST, separate from the money: refund_id stays null until the ledger runs, so a pending request cannot silently move the folio. Posting calls the existing post_refund, which locks the payment FOR UPDATE, refuses to give back more than was taken, and posts a DEBIT per allocation — the folio balance rises and both the payment and its reversal stay on the bill. Nothing is ever deleted. The three kinds are genuinely different and the screen enforces it: a VOID is same-business-day and whole-amount only (422 on a partial, 409 after the day has rolled), a REFUND is the only partial one, a REVERSAL is whole-amount. A partial unique index allows ONE open request per payment, which post_refund alone could not catch until the second post. Verified: 422 unknown action, 422 partial void, 422 over the refundable balance, 422 remarks under 5 chars, 409 second open request, 409 posting an unapproved one, 409 posting twice, 409 void on an earlier day. Withdraw removes a request without unwinding anything, keeping the record of having asked. NOT DONE: export; and Print / Email Receipt, which live on screen 036. NOT FAKED: the mockup's gateway settlement steps and 'Email Sent' timeline entry are absent — there is no payment gateway and no mail transport, so the timeline shows only what actually happened. 2026-09-10 EXPORT ADDED, story closed. Was held at Integration purely for want of an export. Built on a single shared helper (frontend/src/lib/csv.ts) rather than a fifth inline copy: four screens each growing their own CSV writer is four chances for the quoting to differ, and a comma inside a guest address silently splitting a column is a bug nobody reports because the file merely looks odd. RFC 4180 quoting (inner quotes doubled), CRLF rows and a UTF-8 BOM so Excel does not mangle the rupee sign or accented names. Verified by capturing the real Blob in Chrome, not by assuming the click worked. Reversals export voids, refunds and reversals on a payment with the same approval trail. Money handed back needs a paper trail that leaves the system.
[14 Sep 2026 defect sweep] DEFECT FOUND AND FIXED (high). Repeated refunds debited the wrong folio. The allocation loop read each allocation at its ORIGINAL size with no memory of earlier refunds, so a second refund restarted at the first folio: a 1,000 payment split 600/400 and refunded in two halves of 500 debited the first folio 1,000 -- from a folio that only ever received 600 -- while the second kept 400 it should have given up. The payment's own arithmetic still balanced, which is why it could happen quietly. Each allocation is now offset by the refund debits already posted against that folio for that payment, and an allocation already fully refunded is skipped rather than producing a zero entry. Also on this screen: 'Outstanding Balance' described the FOLIO while sitting under the payment's own figures, sending a reader to the wrong payment; it now names the folio. 'Total Paid' showed the refundable remainder, reading 0.00 on a payment the guest did make; relabelled 'Still held'.</t>
        </is>
      </c>
    </row>
    <row r="139" ht="78" customHeight="1" s="43">
      <c r="A139" s="11" t="n">
        <v>1</v>
      </c>
      <c r="B139" s="11" t="n">
        <v>135</v>
      </c>
      <c r="C139" s="12" t="inlineStr">
        <is>
          <t>US-115-03</t>
        </is>
      </c>
      <c r="D139" s="12" t="inlineStr">
        <is>
          <t>Control permissions, overrides and audit for Payment Details and Reversal</t>
        </is>
      </c>
      <c r="E139" s="12" t="inlineStr">
        <is>
          <t>EPIC-16</t>
        </is>
      </c>
      <c r="F139" s="12" t="inlineStr">
        <is>
          <t>Finance</t>
        </is>
      </c>
      <c r="G139" s="12" t="inlineStr">
        <is>
          <t>Payment Control</t>
        </is>
      </c>
      <c r="H139" s="11" t="inlineStr">
        <is>
          <t>SCR-115</t>
        </is>
      </c>
      <c r="I139" s="12" t="inlineStr">
        <is>
          <t>Payment Details and Reversal</t>
        </is>
      </c>
      <c r="J139" s="12" t="inlineStr">
        <is>
          <t>Security / Exceptions</t>
        </is>
      </c>
      <c r="K139" s="12" t="inlineStr">
        <is>
          <t>Finance Manager</t>
        </is>
      </c>
      <c r="L139" s="12" t="inlineStr">
        <is>
          <t>As a department supervisor or auditor, I want sensitive actions in Payment Details and Reversal to follow permissions, approval limits and audit rules, so that resort operations remain secure, compliant and traceable.</t>
        </is>
      </c>
      <c r="M139" s="12" t="inlineStr">
        <is>
          <t>Reduces fraud, privacy leakage, unauthorized overrides and unresolved operational disputes.</t>
        </is>
      </c>
      <c r="N139" s="12" t="inlineStr">
        <is>
          <t>Roles, permissions, approval hierarchy and audit service are configured; allowed and denied test users exist.</t>
        </is>
      </c>
      <c r="O13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39" s="12" t="inlineStr">
        <is>
          <t>Tampered IDs, expired sessions, approval-limit violations and cross-tenant requests are rejected; secrets and sensitive guest/payment fields are never written to logs.</t>
        </is>
      </c>
      <c r="Q139" s="12" t="inlineStr">
        <is>
          <t>Tenant/property scope; required fields; optimistic locking; timezone-safe dates; reason mandatory for overrides; currency precision; tax/rate totals; approval limit; no unbalanced or duplicate posting</t>
        </is>
      </c>
      <c r="R139" s="12" t="inlineStr">
        <is>
          <t>All revenue modules</t>
        </is>
      </c>
      <c r="S139" s="12" t="inlineStr">
        <is>
          <t>GET, POST/PATCH /api/v1/payment-details-and-reversal; lookup, validation and audit endpoints; idempotency for financial/booking writes; entities: folios, payments, refunds, invoices, credit_notes, cash_drawers, taxes, receivables</t>
        </is>
      </c>
      <c r="T139" s="12" t="inlineStr">
        <is>
          <t>Must Have</t>
        </is>
      </c>
      <c r="U139" s="12" t="inlineStr">
        <is>
          <t>MVP</t>
        </is>
      </c>
      <c r="V139" s="34" t="n">
        <v>5</v>
      </c>
      <c r="W139" s="12" t="inlineStr">
        <is>
          <t>S05-S07</t>
        </is>
      </c>
      <c r="X139" s="12" t="inlineStr">
        <is>
          <t>Done</t>
        </is>
      </c>
      <c r="Y139" s="13" t="n">
        <v>1</v>
      </c>
      <c r="Z139" s="12" t="n"/>
      <c r="AA139" s="12" t="inlineStr">
        <is>
          <t>TC-115-C</t>
        </is>
      </c>
      <c r="AB139" s="12" t="inlineStr">
        <is>
          <t>Approved screen design; story reviewed with Finance Manager; dependencies, API contract, role permissions and test data identified.</t>
        </is>
      </c>
      <c r="AC139" s="12" t="inlineStr">
        <is>
          <t>Code reviewed; unit, API, UI, RBAC and integration tests pass; accessibility and responsive states verified; audit evidence captured; product owner accepts in staging.</t>
        </is>
      </c>
      <c r="AD139" s="12" t="inlineStr">
        <is>
          <t>Deny-by-default throughout: payments.view guards the context, payments.create guards raising a request, payments.cancel guards posting and withdrawing — so asking for money back and actually returning it are separate rights. Routed through chirala_common.approvals against the property's own policies: a refund uses 'Refunds above 5,000' (General Manager), a void or reversal uses 'Payment reversals above 5,000' (Resort Manager / Administrator), both seeded by migration 0011. Under the threshold the policy clears it and records which rule did; over it the request waits in the screen 042 queue with the payment untouched. Verified live: a 13,000 reversal reached the queue, posting was refused with 'still pending approval', the initiator was refused with 409 'Initiator cannot approve their own request', vikram.singh approved, and only then did it post — taking Sneha Rao's wrongly-posted deposit folio from -13,000 to 0.00. Audit events for payment.{void,refund,reversal}.requested/posted/cancelled carrying actor, amount, reason and the resulting folio balance.</t>
        </is>
      </c>
    </row>
    <row r="140" ht="78" customHeight="1" s="43">
      <c r="A140" s="11" t="n">
        <v>1</v>
      </c>
      <c r="B140" s="11" t="n">
        <v>136</v>
      </c>
      <c r="C140" s="12" t="inlineStr">
        <is>
          <t>US-116-01</t>
        </is>
      </c>
      <c r="D140" s="12" t="inlineStr">
        <is>
          <t>View and find information in Invoice and Credit Note</t>
        </is>
      </c>
      <c r="E140" s="12" t="inlineStr">
        <is>
          <t>EPIC-16</t>
        </is>
      </c>
      <c r="F140" s="12" t="inlineStr">
        <is>
          <t>Finance</t>
        </is>
      </c>
      <c r="G140" s="12" t="inlineStr">
        <is>
          <t>Invoicing</t>
        </is>
      </c>
      <c r="H140" s="11" t="inlineStr">
        <is>
          <t>SCR-116</t>
        </is>
      </c>
      <c r="I140" s="12" t="inlineStr">
        <is>
          <t>Invoice and Credit Note</t>
        </is>
      </c>
      <c r="J140" s="12" t="inlineStr">
        <is>
          <t>View / Search</t>
        </is>
      </c>
      <c r="K140" s="12" t="inlineStr">
        <is>
          <t>Finance Manager</t>
        </is>
      </c>
      <c r="L140" s="12" t="inlineStr">
        <is>
          <t>As a Finance Manager, I want to open Invoice and Credit Note and find relevant records using search, filters and sorting, so that I can make accurate operational decisions.</t>
        </is>
      </c>
      <c r="M140" s="12" t="inlineStr">
        <is>
          <t>Provides timely visibility for invoicing and reduces manual lookup effort.</t>
        </is>
      </c>
      <c r="N140" s="12" t="inlineStr">
        <is>
          <t>Authenticated user; active property; view permission for Finance; All revenue modules data available.</t>
        </is>
      </c>
      <c r="O140" s="12" t="inlineStr">
        <is>
          <t>Given I am authenticated as Finance Manager with access to the selected property, when I open Invoice and Credit Note,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40" s="12" t="inlineStr">
        <is>
          <t>Cross-property data never appears; unauthorized fields are masked; invalid filters do not break the screen; unavailable services return a controlled message.</t>
        </is>
      </c>
      <c r="Q140" s="12" t="inlineStr">
        <is>
          <t>Tenant/property scope; required fields; optimistic locking; timezone-safe dates; reason mandatory for overrides; currency precision; tax/rate totals; approval limit; no unbalanced or duplicate posting</t>
        </is>
      </c>
      <c r="R140" s="12" t="inlineStr">
        <is>
          <t>All revenue modules</t>
        </is>
      </c>
      <c r="S140" s="12" t="inlineStr">
        <is>
          <t>GET, POST, PUT/PATCH, DELETE /api/v1/invoice-and-credit-note; lookup, validation and audit endpoints; idempotency for financial/booking writes; entities: folios, payments, refunds, invoices, credit_notes, cash_drawers, taxes, receivables</t>
        </is>
      </c>
      <c r="T140" s="12" t="inlineStr">
        <is>
          <t>Must Have</t>
        </is>
      </c>
      <c r="U140" s="12" t="inlineStr">
        <is>
          <t>MVP</t>
        </is>
      </c>
      <c r="V140" s="34" t="n">
        <v>3</v>
      </c>
      <c r="W140" s="12" t="inlineStr">
        <is>
          <t>S05-S07</t>
        </is>
      </c>
      <c r="X140" s="12" t="inlineStr">
        <is>
          <t>Done</t>
        </is>
      </c>
      <c r="Y140" s="13" t="n">
        <v>1</v>
      </c>
      <c r="Z140" s="12" t="n"/>
      <c r="AA140" s="12" t="inlineStr">
        <is>
          <t>TC-116-A</t>
        </is>
      </c>
      <c r="AB140" s="12" t="inlineStr">
        <is>
          <t>Approved screen design; story reviewed with Finance Manager; dependencies, API contract, role permissions and test data identified.</t>
        </is>
      </c>
      <c r="AC140" s="12" t="inlineStr">
        <is>
          <t>Code reviewed; unit, API, UI, RBAC and integration tests pass; accessibility and responsive states verified; audit evidence captured; product owner accepts in staging.</t>
        </is>
      </c>
      <c r="AD140" s="12" t="inlineStr">
        <is>
          <t xml:space="preserve"> BUILT 2026-09-10. finance.invoices / invoice_lines / credit_notes have existed since 0001_finance_core with NO endpoint ever touching them; migrations 0009_invoicing and 0010_draft_inv_no_number added what was missing. New: finance.invoice_settings (per-property legal identity + fiscal numbering), audit columns on invoices, and credit_notes promoted to a real document (status, posted_entry_id, issued_by, uq_credit_note_number). Endpoints: GET/PUT /invoice-settings, GET /invoices (status + search), GET /invoices/{id}, POST /invoices, /issue, /cancel, /credit-notes. Screens: Invoices list, Invoice detail (the mockup), Invoice Settings. NOTE THE MOCKUP FILES ARE SWAPPED: 116_Invoice_And_Credit_Note.png actually contains screen 115 Payment Details, and the real 116 design is inside 115_Payment_Details_And_Reversal.png.</t>
        </is>
      </c>
    </row>
    <row r="141" ht="78" customHeight="1" s="43">
      <c r="A141" s="11" t="n">
        <v>1</v>
      </c>
      <c r="B141" s="11" t="n">
        <v>137</v>
      </c>
      <c r="C141" s="12" t="inlineStr">
        <is>
          <t>US-116-02</t>
        </is>
      </c>
      <c r="D141" s="12" t="inlineStr">
        <is>
          <t>Complete the primary Invoice and Credit Note workflow</t>
        </is>
      </c>
      <c r="E141" s="12" t="inlineStr">
        <is>
          <t>EPIC-16</t>
        </is>
      </c>
      <c r="F141" s="12" t="inlineStr">
        <is>
          <t>Finance</t>
        </is>
      </c>
      <c r="G141" s="12" t="inlineStr">
        <is>
          <t>Invoicing</t>
        </is>
      </c>
      <c r="H141" s="11" t="inlineStr">
        <is>
          <t>SCR-116</t>
        </is>
      </c>
      <c r="I141" s="12" t="inlineStr">
        <is>
          <t>Invoice and Credit Note</t>
        </is>
      </c>
      <c r="J141" s="12" t="inlineStr">
        <is>
          <t>Primary Workflow</t>
        </is>
      </c>
      <c r="K141" s="12" t="inlineStr">
        <is>
          <t>Finance Manager</t>
        </is>
      </c>
      <c r="L141" s="12" t="inlineStr">
        <is>
          <t>As a Finance Manager, I want to list, search, filter, view, create, edit, cancel/delete under policy, export in Invoice and Credit Note, so that the invoicing process is completed accurately without duplicate or inconsistent records.</t>
        </is>
      </c>
      <c r="M141" s="12" t="inlineStr">
        <is>
          <t>Enable finance users to manage invoicing through the Invoice and Credit Note workflow with real-time status, validations and traceability.</t>
        </is>
      </c>
      <c r="N141" s="12" t="inlineStr">
        <is>
          <t>View access confirmed; required masters and linked records exist; All revenue modules services are available; approval limit is valid.</t>
        </is>
      </c>
      <c r="O14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invoice and credit note workflow; invalid or conflicting actions are blocked with clear messages; saved changes appear in related screens; sensitive changes are auditable.</t>
        </is>
      </c>
      <c r="P141" s="12" t="inlineStr">
        <is>
          <t>Duplicate submission is idempotent; stale data returns a refresh/conflict message; invalid status transitions are blocked; partial failure rolls back without orphan records.</t>
        </is>
      </c>
      <c r="Q141" s="12" t="inlineStr">
        <is>
          <t>Tenant/property scope; required fields; optimistic locking; timezone-safe dates; reason mandatory for overrides; currency precision; tax/rate totals; approval limit; no unbalanced or duplicate posting</t>
        </is>
      </c>
      <c r="R141" s="12" t="inlineStr">
        <is>
          <t>All revenue modules</t>
        </is>
      </c>
      <c r="S141" s="12" t="inlineStr">
        <is>
          <t>GET, POST, PUT/PATCH, DELETE /api/v1/invoice-and-credit-note; lookup, validation and audit endpoints; idempotency for financial/booking writes; entities: folios, payments, refunds, invoices, credit_notes, cash_drawers, taxes, receivables</t>
        </is>
      </c>
      <c r="T141" s="12" t="inlineStr">
        <is>
          <t>Must Have</t>
        </is>
      </c>
      <c r="U141" s="12" t="inlineStr">
        <is>
          <t>MVP</t>
        </is>
      </c>
      <c r="V141" s="34" t="n">
        <v>8</v>
      </c>
      <c r="W141" s="12" t="inlineStr">
        <is>
          <t>S05-S07</t>
        </is>
      </c>
      <c r="X141" s="12" t="inlineStr">
        <is>
          <t>Done</t>
        </is>
      </c>
      <c r="Y141" s="13" t="n">
        <v>1</v>
      </c>
      <c r="Z141" s="12" t="n"/>
      <c r="AA141" s="12" t="inlineStr">
        <is>
          <t>TC-116-B</t>
        </is>
      </c>
      <c r="AB141" s="12" t="inlineStr">
        <is>
          <t>Approved screen design; story reviewed with Finance Manager; dependencies, API contract, role permissions and test data identified.</t>
        </is>
      </c>
      <c r="AC141" s="12" t="inlineStr">
        <is>
          <t>Code reviewed; unit, API, UI, RBAC and integration tests pass; accessibility and responsive states verified; audit evidence captured; product owner accepts in staging.</t>
        </is>
      </c>
      <c r="AD141" s="12" t="inlineStr">
        <is>
          <t xml:space="preserve"> BUILT 2026-09-10. Lifecycle draft -&gt; issued -&gt; credited, verified end to end. AN INVOICE IS A SNAPSHOT, NOT A VIEW: customer_snapshot and totals_snapshot are written at issue and never recomputed, so reprinting an old invoice shows what it said then even after the guest moves or rates change; a draft is recomputed on every read because it is still a working document. NUMBERS ARE ALLOCATED AT ISSUE, NEVER AT DRAFT - an abandoned draft must not burn a number and leave a gap in the fiscal series; the allocator is bumped under FOR UPDATE so two cashiers cannot collide. uq_invoice_line_entry means a folio entry can be billed exactly once, enforced in the database not in a code path. A CREDIT NOTE POSTS TO THE LEDGER (credit entry, source_type='credit_note'), so the guest balance and the invoice outstanding move together - verified: ledger went 15,185.00 -&gt; 12,685.00 on a 2,500 note. Verified refusals: second draft over a fully invoiced folio 409; issuing twice 409; cancelling an ISSUED invoice 409 (it is corrected with a credit note, never deleted); credit note above the remaining amount 422 with the actual figures. BUGS FOUND AND FIXED DURING BUILD: (1) invoices.invoice_number was NOT NULL, forcing a number at draft - migration 0010 makes it nullable and adds ck_invoice_number_when_issued so an ISSUED one must still carry one; (2) invoice_number and credit_notes.number are bigint not varchar - schema types and the CN numbering corrected; (3) the list search did COALESCE(bigint,'') and 500'd; (4) searching the number a user can SEE (INV-2026-0001) found nothing because the stored value is 1 - the query now takes the last run of digits from whatever is typed, so 0001, 1 and INV-2026-0001 all match; (5) the list rendered 'No invoice yet' when the request had actually FAILED - a failed load now shows the error instead of an empty table.</t>
        </is>
      </c>
    </row>
    <row r="142" ht="78" customHeight="1" s="43">
      <c r="A142" s="11" t="n">
        <v>1</v>
      </c>
      <c r="B142" s="11" t="n">
        <v>138</v>
      </c>
      <c r="C142" s="12" t="inlineStr">
        <is>
          <t>US-116-03</t>
        </is>
      </c>
      <c r="D142" s="12" t="inlineStr">
        <is>
          <t>Control permissions, overrides and audit for Invoice and Credit Note</t>
        </is>
      </c>
      <c r="E142" s="12" t="inlineStr">
        <is>
          <t>EPIC-16</t>
        </is>
      </c>
      <c r="F142" s="12" t="inlineStr">
        <is>
          <t>Finance</t>
        </is>
      </c>
      <c r="G142" s="12" t="inlineStr">
        <is>
          <t>Invoicing</t>
        </is>
      </c>
      <c r="H142" s="11" t="inlineStr">
        <is>
          <t>SCR-116</t>
        </is>
      </c>
      <c r="I142" s="12" t="inlineStr">
        <is>
          <t>Invoice and Credit Note</t>
        </is>
      </c>
      <c r="J142" s="12" t="inlineStr">
        <is>
          <t>Security / Exceptions</t>
        </is>
      </c>
      <c r="K142" s="12" t="inlineStr">
        <is>
          <t>Finance Manager</t>
        </is>
      </c>
      <c r="L142" s="12" t="inlineStr">
        <is>
          <t>As a department supervisor or auditor, I want sensitive actions in Invoice and Credit Note to follow permissions, approval limits and audit rules, so that resort operations remain secure, compliant and traceable.</t>
        </is>
      </c>
      <c r="M142" s="12" t="inlineStr">
        <is>
          <t>Reduces fraud, privacy leakage, unauthorized overrides and unresolved operational disputes.</t>
        </is>
      </c>
      <c r="N142" s="12" t="inlineStr">
        <is>
          <t>Roles, permissions, approval hierarchy and audit service are configured; allowed and denied test users exist.</t>
        </is>
      </c>
      <c r="O14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42" s="12" t="inlineStr">
        <is>
          <t>Tampered IDs, expired sessions, approval-limit violations and cross-tenant requests are rejected; secrets and sensitive guest/payment fields are never written to logs.</t>
        </is>
      </c>
      <c r="Q142" s="12" t="inlineStr">
        <is>
          <t>Tenant/property scope; required fields; optimistic locking; timezone-safe dates; reason mandatory for overrides; currency precision; tax/rate totals; approval limit; no unbalanced or duplicate posting</t>
        </is>
      </c>
      <c r="R142" s="12" t="inlineStr">
        <is>
          <t>All revenue modules</t>
        </is>
      </c>
      <c r="S142" s="12" t="inlineStr">
        <is>
          <t>GET, POST, PUT/PATCH, DELETE /api/v1/invoice-and-credit-note; lookup, validation and audit endpoints; idempotency for financial/booking writes; entities: folios, payments, refunds, invoices, credit_notes, cash_drawers, taxes, receivables</t>
        </is>
      </c>
      <c r="T142" s="12" t="inlineStr">
        <is>
          <t>Must Have</t>
        </is>
      </c>
      <c r="U142" s="12" t="inlineStr">
        <is>
          <t>MVP</t>
        </is>
      </c>
      <c r="V142" s="34" t="n">
        <v>5</v>
      </c>
      <c r="W142" s="12" t="inlineStr">
        <is>
          <t>S05-S07</t>
        </is>
      </c>
      <c r="X142" s="12" t="inlineStr">
        <is>
          <t>Done</t>
        </is>
      </c>
      <c r="Y142" s="13" t="n">
        <v>1</v>
      </c>
      <c r="Z142" s="12" t="n"/>
      <c r="AA142" s="12" t="inlineStr">
        <is>
          <t>TC-116-C</t>
        </is>
      </c>
      <c r="AB142" s="12" t="inlineStr">
        <is>
          <t>Approved screen design; story reviewed with Finance Manager; dependencies, API contract, role permissions and test data identified.</t>
        </is>
      </c>
      <c r="AC142" s="12" t="inlineStr">
        <is>
          <t>Code reviewed; unit, API, UI, RBAC and integration tests pass; accessibility and responsive states verified; audit evidence captured; product owner accepts in staging.</t>
        </is>
      </c>
      <c r="AD142" s="12" t="inlineStr">
        <is>
          <t xml:space="preserve"> 2026-09-10. Guarded on payments.view/create/edit/approve/configure; issue and credit note both require payments.approve, so preparing and issuing can be separated by role. Every transition writes iam.audit_events (invoice.drafted / issued / cancelled / credit_note.issued) and the Approval &amp; Audit panel reads that, not a reconstruction. NOT BUILT, AND SAID SO ON SCREEN RATHER THAN FAKED: the mockup is a GST tax invoice with GSTIN, place of supply, SAC codes and a CGST/SGST split. A GSTIN is a real registration issued by a real authority - printing an invented one produces a FALSE TAX DOCUMENT. invoice_settings holds gstin, state and state_code and they start EMPTY; until a property fills them in the API returns tax_compliance.compliant=false, names the missing fields, and the document is headed 'Invoice' rather than 'Tax Invoice'. CGST/SGST vs IGST is decided from whether the customer's state matches the property's, never assumed, so with no state_code the posted tax lines are shown exactly as they were recorded in folio_entry_taxes. SAC codes are absent entirely: they belong on a charge-code catalogue and finance.charge_codes holds 0 rows with no folio entry referencing one, so a SAC per line would be a guess at a tax classification. Customer GSTIN is captured per invoice because engagement.guests has no such column.</t>
        </is>
      </c>
    </row>
    <row r="143" ht="78" customHeight="1" s="43">
      <c r="A143" s="11" t="n">
        <v>1</v>
      </c>
      <c r="B143" s="11" t="n">
        <v>139</v>
      </c>
      <c r="C143" s="12" t="inlineStr">
        <is>
          <t>US-117-01</t>
        </is>
      </c>
      <c r="D143" s="12" t="inlineStr">
        <is>
          <t>View and find information in Cash Drawer Open and Close</t>
        </is>
      </c>
      <c r="E143" s="12" t="inlineStr">
        <is>
          <t>EPIC-16</t>
        </is>
      </c>
      <c r="F143" s="12" t="inlineStr">
        <is>
          <t>Finance</t>
        </is>
      </c>
      <c r="G143" s="12" t="inlineStr">
        <is>
          <t>Cash Drawer</t>
        </is>
      </c>
      <c r="H143" s="11" t="inlineStr">
        <is>
          <t>SCR-117</t>
        </is>
      </c>
      <c r="I143" s="12" t="inlineStr">
        <is>
          <t>Cash Drawer Open and Close</t>
        </is>
      </c>
      <c r="J143" s="12" t="inlineStr">
        <is>
          <t>View / Search</t>
        </is>
      </c>
      <c r="K143" s="12" t="inlineStr">
        <is>
          <t>Finance Manager</t>
        </is>
      </c>
      <c r="L143" s="12" t="inlineStr">
        <is>
          <t>As a Finance Manager, I want to open Cash Drawer Open and Close and find relevant records using search, filters and sorting, so that I can make accurate operational decisions.</t>
        </is>
      </c>
      <c r="M143" s="12" t="inlineStr">
        <is>
          <t>Provides timely visibility for cash drawer and reduces manual lookup effort.</t>
        </is>
      </c>
      <c r="N143" s="12" t="inlineStr">
        <is>
          <t>Authenticated user; active property; view permission for Finance; All revenue modules data available.</t>
        </is>
      </c>
      <c r="O143" s="12" t="inlineStr">
        <is>
          <t>Given I am authenticated as Finance Manager with access to the selected property, when I open Cash Drawer Open and Close,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43" s="12" t="inlineStr">
        <is>
          <t>Cross-property data never appears; unauthorized fields are masked; invalid filters do not break the screen; unavailable services return a controlled message.</t>
        </is>
      </c>
      <c r="Q143" s="12" t="inlineStr">
        <is>
          <t>Tenant/property scope; required fields; optimistic locking; timezone-safe dates; reason mandatory for overrides; currency precision; tax/rate totals; approval limit; no unbalanced or duplicate posting</t>
        </is>
      </c>
      <c r="R143" s="12" t="inlineStr">
        <is>
          <t>All revenue modules</t>
        </is>
      </c>
      <c r="S143" s="12" t="inlineStr">
        <is>
          <t>GET, POST, PUT/PATCH, DELETE /api/v1/cash-drawer-open-and-close; lookup, validation and audit endpoints; idempotency for financial/booking writes; entities: folios, payments, refunds, invoices, credit_notes, cash_drawers, taxes, receivables</t>
        </is>
      </c>
      <c r="T143" s="12" t="inlineStr">
        <is>
          <t>Must Have</t>
        </is>
      </c>
      <c r="U143" s="12" t="inlineStr">
        <is>
          <t>MVP</t>
        </is>
      </c>
      <c r="V143" s="34" t="n">
        <v>3</v>
      </c>
      <c r="W143" s="12" t="inlineStr">
        <is>
          <t>S05-S07</t>
        </is>
      </c>
      <c r="X143" s="12" t="inlineStr">
        <is>
          <t>Backlog</t>
        </is>
      </c>
      <c r="Y143" s="13">
        <f>IF(X143="Done",1,IF(X143="QA",0.9,IF(X143="Code Review",0.75,IF(X143="In Development",0.5,IF(X143="Ready",0.1,0)))))</f>
        <v/>
      </c>
      <c r="Z143" s="12" t="n"/>
      <c r="AA143" s="12" t="inlineStr">
        <is>
          <t>TC-117-A</t>
        </is>
      </c>
      <c r="AB143" s="12" t="inlineStr">
        <is>
          <t>Approved screen design; story reviewed with Finance Manager; dependencies, API contract, role permissions and test data identified.</t>
        </is>
      </c>
      <c r="AC143" s="12" t="inlineStr">
        <is>
          <t>Code reviewed; unit, API, UI, RBAC and integration tests pass; accessibility and responsive states verified; audit evidence captured; product owner accepts in staging.</t>
        </is>
      </c>
      <c r="AD143" s="12" t="n"/>
    </row>
    <row r="144" ht="78" customHeight="1" s="43">
      <c r="A144" s="11" t="n">
        <v>1</v>
      </c>
      <c r="B144" s="11" t="n">
        <v>140</v>
      </c>
      <c r="C144" s="12" t="inlineStr">
        <is>
          <t>US-117-02</t>
        </is>
      </c>
      <c r="D144" s="12" t="inlineStr">
        <is>
          <t>Complete the primary Cash Drawer Open and Close workflow</t>
        </is>
      </c>
      <c r="E144" s="12" t="inlineStr">
        <is>
          <t>EPIC-16</t>
        </is>
      </c>
      <c r="F144" s="12" t="inlineStr">
        <is>
          <t>Finance</t>
        </is>
      </c>
      <c r="G144" s="12" t="inlineStr">
        <is>
          <t>Cash Drawer</t>
        </is>
      </c>
      <c r="H144" s="11" t="inlineStr">
        <is>
          <t>SCR-117</t>
        </is>
      </c>
      <c r="I144" s="12" t="inlineStr">
        <is>
          <t>Cash Drawer Open and Close</t>
        </is>
      </c>
      <c r="J144" s="12" t="inlineStr">
        <is>
          <t>Primary Workflow</t>
        </is>
      </c>
      <c r="K144" s="12" t="inlineStr">
        <is>
          <t>Finance Manager</t>
        </is>
      </c>
      <c r="L144" s="12" t="inlineStr">
        <is>
          <t>As a Finance Manager, I want to list, search, filter, view, create, edit, cancel/delete under policy, export in Cash Drawer Open and Close, so that the cash drawer process is completed accurately without duplicate or inconsistent records.</t>
        </is>
      </c>
      <c r="M144" s="12" t="inlineStr">
        <is>
          <t>Enable finance users to manage cash drawer through the Cash Drawer Open and Close workflow with real-time status, validations and traceability.</t>
        </is>
      </c>
      <c r="N144" s="12" t="inlineStr">
        <is>
          <t>View access confirmed; required masters and linked records exist; All revenue modules services are available; approval limit is valid.</t>
        </is>
      </c>
      <c r="O14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cash drawer open and close workflow; invalid or conflicting actions are blocked with clear messages; saved changes appear in related screens; sensitive changes are auditable.</t>
        </is>
      </c>
      <c r="P144" s="12" t="inlineStr">
        <is>
          <t>Duplicate submission is idempotent; stale data returns a refresh/conflict message; invalid status transitions are blocked; partial failure rolls back without orphan records.</t>
        </is>
      </c>
      <c r="Q144" s="12" t="inlineStr">
        <is>
          <t>Tenant/property scope; required fields; optimistic locking; timezone-safe dates; reason mandatory for overrides; currency precision; tax/rate totals; approval limit; no unbalanced or duplicate posting</t>
        </is>
      </c>
      <c r="R144" s="12" t="inlineStr">
        <is>
          <t>All revenue modules</t>
        </is>
      </c>
      <c r="S144" s="12" t="inlineStr">
        <is>
          <t>GET, POST, PUT/PATCH, DELETE /api/v1/cash-drawer-open-and-close; lookup, validation and audit endpoints; idempotency for financial/booking writes; entities: folios, payments, refunds, invoices, credit_notes, cash_drawers, taxes, receivables</t>
        </is>
      </c>
      <c r="T144" s="12" t="inlineStr">
        <is>
          <t>Must Have</t>
        </is>
      </c>
      <c r="U144" s="12" t="inlineStr">
        <is>
          <t>MVP</t>
        </is>
      </c>
      <c r="V144" s="34" t="n">
        <v>8</v>
      </c>
      <c r="W144" s="12" t="inlineStr">
        <is>
          <t>S05-S07</t>
        </is>
      </c>
      <c r="X144" s="12" t="inlineStr">
        <is>
          <t>Backlog</t>
        </is>
      </c>
      <c r="Y144" s="13">
        <f>IF(X144="Done",1,IF(X144="QA",0.9,IF(X144="Code Review",0.75,IF(X144="In Development",0.5,IF(X144="Ready",0.1,0)))))</f>
        <v/>
      </c>
      <c r="Z144" s="12" t="n"/>
      <c r="AA144" s="12" t="inlineStr">
        <is>
          <t>TC-117-B</t>
        </is>
      </c>
      <c r="AB144" s="12" t="inlineStr">
        <is>
          <t>Approved screen design; story reviewed with Finance Manager; dependencies, API contract, role permissions and test data identified.</t>
        </is>
      </c>
      <c r="AC144" s="12" t="inlineStr">
        <is>
          <t>Code reviewed; unit, API, UI, RBAC and integration tests pass; accessibility and responsive states verified; audit evidence captured; product owner accepts in staging.</t>
        </is>
      </c>
      <c r="AD144" s="12" t="n"/>
    </row>
    <row r="145" ht="78" customHeight="1" s="43">
      <c r="A145" s="11" t="n">
        <v>1</v>
      </c>
      <c r="B145" s="11" t="n">
        <v>141</v>
      </c>
      <c r="C145" s="12" t="inlineStr">
        <is>
          <t>US-117-03</t>
        </is>
      </c>
      <c r="D145" s="12" t="inlineStr">
        <is>
          <t>Control permissions, overrides and audit for Cash Drawer Open and Close</t>
        </is>
      </c>
      <c r="E145" s="12" t="inlineStr">
        <is>
          <t>EPIC-16</t>
        </is>
      </c>
      <c r="F145" s="12" t="inlineStr">
        <is>
          <t>Finance</t>
        </is>
      </c>
      <c r="G145" s="12" t="inlineStr">
        <is>
          <t>Cash Drawer</t>
        </is>
      </c>
      <c r="H145" s="11" t="inlineStr">
        <is>
          <t>SCR-117</t>
        </is>
      </c>
      <c r="I145" s="12" t="inlineStr">
        <is>
          <t>Cash Drawer Open and Close</t>
        </is>
      </c>
      <c r="J145" s="12" t="inlineStr">
        <is>
          <t>Security / Exceptions</t>
        </is>
      </c>
      <c r="K145" s="12" t="inlineStr">
        <is>
          <t>Finance Manager</t>
        </is>
      </c>
      <c r="L145" s="12" t="inlineStr">
        <is>
          <t>As a department supervisor or auditor, I want sensitive actions in Cash Drawer Open and Close to follow permissions, approval limits and audit rules, so that resort operations remain secure, compliant and traceable.</t>
        </is>
      </c>
      <c r="M145" s="12" t="inlineStr">
        <is>
          <t>Reduces fraud, privacy leakage, unauthorized overrides and unresolved operational disputes.</t>
        </is>
      </c>
      <c r="N145" s="12" t="inlineStr">
        <is>
          <t>Roles, permissions, approval hierarchy and audit service are configured; allowed and denied test users exist.</t>
        </is>
      </c>
      <c r="O14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45" s="12" t="inlineStr">
        <is>
          <t>Tampered IDs, expired sessions, approval-limit violations and cross-tenant requests are rejected; secrets and sensitive guest/payment fields are never written to logs.</t>
        </is>
      </c>
      <c r="Q145" s="12" t="inlineStr">
        <is>
          <t>Tenant/property scope; required fields; optimistic locking; timezone-safe dates; reason mandatory for overrides; currency precision; tax/rate totals; approval limit; no unbalanced or duplicate posting</t>
        </is>
      </c>
      <c r="R145" s="12" t="inlineStr">
        <is>
          <t>All revenue modules</t>
        </is>
      </c>
      <c r="S145" s="12" t="inlineStr">
        <is>
          <t>GET, POST, PUT/PATCH, DELETE /api/v1/cash-drawer-open-and-close; lookup, validation and audit endpoints; idempotency for financial/booking writes; entities: folios, payments, refunds, invoices, credit_notes, cash_drawers, taxes, receivables</t>
        </is>
      </c>
      <c r="T145" s="12" t="inlineStr">
        <is>
          <t>Must Have</t>
        </is>
      </c>
      <c r="U145" s="12" t="inlineStr">
        <is>
          <t>MVP</t>
        </is>
      </c>
      <c r="V145" s="34" t="n">
        <v>5</v>
      </c>
      <c r="W145" s="12" t="inlineStr">
        <is>
          <t>S05-S07</t>
        </is>
      </c>
      <c r="X145" s="12" t="inlineStr">
        <is>
          <t>Backlog</t>
        </is>
      </c>
      <c r="Y145" s="13">
        <f>IF(X145="Done",1,IF(X145="QA",0.9,IF(X145="Code Review",0.75,IF(X145="In Development",0.5,IF(X145="Ready",0.1,0)))))</f>
        <v/>
      </c>
      <c r="Z145" s="12" t="n"/>
      <c r="AA145" s="12" t="inlineStr">
        <is>
          <t>TC-117-C</t>
        </is>
      </c>
      <c r="AB145" s="12" t="inlineStr">
        <is>
          <t>Approved screen design; story reviewed with Finance Manager; dependencies, API contract, role permissions and test data identified.</t>
        </is>
      </c>
      <c r="AC145" s="12" t="inlineStr">
        <is>
          <t>Code reviewed; unit, API, UI, RBAC and integration tests pass; accessibility and responsive states verified; audit evidence captured; product owner accepts in staging.</t>
        </is>
      </c>
      <c r="AD145" s="12" t="n"/>
    </row>
    <row r="146" ht="78" customHeight="1" s="43">
      <c r="A146" s="11" t="n">
        <v>1</v>
      </c>
      <c r="B146" s="11" t="n">
        <v>142</v>
      </c>
      <c r="C146" s="12" t="inlineStr">
        <is>
          <t>US-022-01</t>
        </is>
      </c>
      <c r="D146" s="12" t="inlineStr">
        <is>
          <t>View and find information in Finance and Night Audit</t>
        </is>
      </c>
      <c r="E146" s="12" t="inlineStr">
        <is>
          <t>EPIC-16</t>
        </is>
      </c>
      <c r="F146" s="12" t="inlineStr">
        <is>
          <t>Finance</t>
        </is>
      </c>
      <c r="G146" s="12" t="inlineStr">
        <is>
          <t>Audit &amp; Close</t>
        </is>
      </c>
      <c r="H146" s="11" t="inlineStr">
        <is>
          <t>SCR-022</t>
        </is>
      </c>
      <c r="I146" s="12" t="inlineStr">
        <is>
          <t>Finance and Night Audit</t>
        </is>
      </c>
      <c r="J146" s="12" t="inlineStr">
        <is>
          <t>View / Search</t>
        </is>
      </c>
      <c r="K146" s="12" t="inlineStr">
        <is>
          <t>Finance Manager</t>
        </is>
      </c>
      <c r="L146" s="12" t="inlineStr">
        <is>
          <t>As a Finance Manager, I want to open Finance and Night Audit and find relevant records using search, filters and sorting, so that I can make accurate operational decisions.</t>
        </is>
      </c>
      <c r="M146" s="12" t="inlineStr">
        <is>
          <t>Provides timely visibility for audit &amp; close and reduces manual lookup effort.</t>
        </is>
      </c>
      <c r="N146" s="12" t="inlineStr">
        <is>
          <t>Authenticated user; active property; view permission for Finance; All revenue modules data available.</t>
        </is>
      </c>
      <c r="O146" s="12" t="inlineStr">
        <is>
          <t>Given I am authenticated as Finance Manager with access to the selected property, when I open Finance and Night Audit,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46" s="12" t="inlineStr">
        <is>
          <t>Cross-property data never appears; unauthorized fields are masked; invalid filters do not break the screen; unavailable services return a controlled message.</t>
        </is>
      </c>
      <c r="Q146" s="12" t="inlineStr">
        <is>
          <t>Tenant/property scope; required fields; optimistic locking; timezone-safe dates; reason mandatory for overrides; currency precision; tax/rate totals; approval limit; no unbalanced or duplicate posting</t>
        </is>
      </c>
      <c r="R146" s="12" t="inlineStr">
        <is>
          <t>All revenue modules</t>
        </is>
      </c>
      <c r="S146" s="12" t="inlineStr">
        <is>
          <t>GET, POST, PUT/PATCH, DELETE /api/v1/finance-and-night-audit; lookup, validation and audit endpoints; idempotency for financial/booking writes; entities: folios, payments, refunds, invoices, credit_notes, cash_drawers, taxes, receivables</t>
        </is>
      </c>
      <c r="T146" s="12" t="inlineStr">
        <is>
          <t>Must Have</t>
        </is>
      </c>
      <c r="U146" s="12" t="inlineStr">
        <is>
          <t>MVP</t>
        </is>
      </c>
      <c r="V146" s="34" t="n">
        <v>3</v>
      </c>
      <c r="W146" s="12" t="inlineStr">
        <is>
          <t>S20-S22</t>
        </is>
      </c>
      <c r="X146" s="12" t="inlineStr">
        <is>
          <t>Backlog</t>
        </is>
      </c>
      <c r="Y146" s="13">
        <f>IF(X146="Done",1,IF(X146="QA",0.9,IF(X146="Code Review",0.75,IF(X146="In Development",0.5,IF(X146="Ready",0.1,0)))))</f>
        <v/>
      </c>
      <c r="Z146" s="12" t="n"/>
      <c r="AA146" s="12" t="inlineStr">
        <is>
          <t>TC-022-A</t>
        </is>
      </c>
      <c r="AB146" s="12" t="inlineStr">
        <is>
          <t>Approved screen design; story reviewed with Finance Manager; dependencies, API contract, role permissions and test data identified.</t>
        </is>
      </c>
      <c r="AC146" s="12" t="inlineStr">
        <is>
          <t>Code reviewed; unit, API, UI, RBAC and integration tests pass; accessibility and responsive states verified; audit evidence captured; product owner accepts in staging.</t>
        </is>
      </c>
      <c r="AD146" s="12" t="n"/>
    </row>
    <row r="147" ht="78" customHeight="1" s="43">
      <c r="A147" s="11" t="n">
        <v>1</v>
      </c>
      <c r="B147" s="11" t="n">
        <v>143</v>
      </c>
      <c r="C147" s="12" t="inlineStr">
        <is>
          <t>US-022-02</t>
        </is>
      </c>
      <c r="D147" s="12" t="inlineStr">
        <is>
          <t>Complete the primary Finance and Night Audit workflow</t>
        </is>
      </c>
      <c r="E147" s="12" t="inlineStr">
        <is>
          <t>EPIC-16</t>
        </is>
      </c>
      <c r="F147" s="12" t="inlineStr">
        <is>
          <t>Finance</t>
        </is>
      </c>
      <c r="G147" s="12" t="inlineStr">
        <is>
          <t>Audit &amp; Close</t>
        </is>
      </c>
      <c r="H147" s="11" t="inlineStr">
        <is>
          <t>SCR-022</t>
        </is>
      </c>
      <c r="I147" s="12" t="inlineStr">
        <is>
          <t>Finance and Night Audit</t>
        </is>
      </c>
      <c r="J147" s="12" t="inlineStr">
        <is>
          <t>Primary Workflow</t>
        </is>
      </c>
      <c r="K147" s="12" t="inlineStr">
        <is>
          <t>Finance Manager</t>
        </is>
      </c>
      <c r="L147" s="12" t="inlineStr">
        <is>
          <t>As a Finance Manager, I want to list, search, filter, view, create, edit, cancel/delete under policy, export in Finance and Night Audit, so that the audit &amp; close process is completed accurately without duplicate or inconsistent records.</t>
        </is>
      </c>
      <c r="M147" s="12" t="inlineStr">
        <is>
          <t>Enable finance users to manage audit &amp; close through the Finance and Night Audit workflow with real-time status, validations and traceability.</t>
        </is>
      </c>
      <c r="N147" s="12" t="inlineStr">
        <is>
          <t>View access confirmed; required masters and linked records exist; All revenue modules services are available; approval limit is valid.</t>
        </is>
      </c>
      <c r="O14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finance and night audit workflow; invalid or conflicting actions are blocked with clear messages; saved changes appear in related screens; sensitive changes are auditable.</t>
        </is>
      </c>
      <c r="P147" s="12" t="inlineStr">
        <is>
          <t>Duplicate submission is idempotent; stale data returns a refresh/conflict message; invalid status transitions are blocked; partial failure rolls back without orphan records.</t>
        </is>
      </c>
      <c r="Q147" s="12" t="inlineStr">
        <is>
          <t>Tenant/property scope; required fields; optimistic locking; timezone-safe dates; reason mandatory for overrides; currency precision; tax/rate totals; approval limit; no unbalanced or duplicate posting</t>
        </is>
      </c>
      <c r="R147" s="12" t="inlineStr">
        <is>
          <t>All revenue modules</t>
        </is>
      </c>
      <c r="S147" s="12" t="inlineStr">
        <is>
          <t>GET, POST, PUT/PATCH, DELETE /api/v1/finance-and-night-audit; lookup, validation and audit endpoints; idempotency for financial/booking writes; entities: folios, payments, refunds, invoices, credit_notes, cash_drawers, taxes, receivables</t>
        </is>
      </c>
      <c r="T147" s="12" t="inlineStr">
        <is>
          <t>Must Have</t>
        </is>
      </c>
      <c r="U147" s="12" t="inlineStr">
        <is>
          <t>MVP</t>
        </is>
      </c>
      <c r="V147" s="34" t="n">
        <v>8</v>
      </c>
      <c r="W147" s="12" t="inlineStr">
        <is>
          <t>S20-S22</t>
        </is>
      </c>
      <c r="X147" s="12" t="inlineStr">
        <is>
          <t>Backlog</t>
        </is>
      </c>
      <c r="Y147" s="13">
        <f>IF(X147="Done",1,IF(X147="QA",0.9,IF(X147="Code Review",0.75,IF(X147="In Development",0.5,IF(X147="Ready",0.1,0)))))</f>
        <v/>
      </c>
      <c r="Z147" s="12" t="n"/>
      <c r="AA147" s="12" t="inlineStr">
        <is>
          <t>TC-022-B</t>
        </is>
      </c>
      <c r="AB147" s="12" t="inlineStr">
        <is>
          <t>Approved screen design; story reviewed with Finance Manager; dependencies, API contract, role permissions and test data identified.</t>
        </is>
      </c>
      <c r="AC147" s="12" t="inlineStr">
        <is>
          <t>Code reviewed; unit, API, UI, RBAC and integration tests pass; accessibility and responsive states verified; audit evidence captured; product owner accepts in staging.</t>
        </is>
      </c>
      <c r="AD147" s="12" t="n"/>
    </row>
    <row r="148" ht="78" customHeight="1" s="43">
      <c r="A148" s="11" t="n">
        <v>1</v>
      </c>
      <c r="B148" s="11" t="n">
        <v>144</v>
      </c>
      <c r="C148" s="12" t="inlineStr">
        <is>
          <t>US-022-03</t>
        </is>
      </c>
      <c r="D148" s="12" t="inlineStr">
        <is>
          <t>Control permissions, overrides and audit for Finance and Night Audit</t>
        </is>
      </c>
      <c r="E148" s="12" t="inlineStr">
        <is>
          <t>EPIC-16</t>
        </is>
      </c>
      <c r="F148" s="12" t="inlineStr">
        <is>
          <t>Finance</t>
        </is>
      </c>
      <c r="G148" s="12" t="inlineStr">
        <is>
          <t>Audit &amp; Close</t>
        </is>
      </c>
      <c r="H148" s="11" t="inlineStr">
        <is>
          <t>SCR-022</t>
        </is>
      </c>
      <c r="I148" s="12" t="inlineStr">
        <is>
          <t>Finance and Night Audit</t>
        </is>
      </c>
      <c r="J148" s="12" t="inlineStr">
        <is>
          <t>Security / Exceptions</t>
        </is>
      </c>
      <c r="K148" s="12" t="inlineStr">
        <is>
          <t>Finance Manager</t>
        </is>
      </c>
      <c r="L148" s="12" t="inlineStr">
        <is>
          <t>As a department supervisor or auditor, I want sensitive actions in Finance and Night Audit to follow permissions, approval limits and audit rules, so that resort operations remain secure, compliant and traceable.</t>
        </is>
      </c>
      <c r="M148" s="12" t="inlineStr">
        <is>
          <t>Reduces fraud, privacy leakage, unauthorized overrides and unresolved operational disputes.</t>
        </is>
      </c>
      <c r="N148" s="12" t="inlineStr">
        <is>
          <t>Roles, permissions, approval hierarchy and audit service are configured; allowed and denied test users exist.</t>
        </is>
      </c>
      <c r="O14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48" s="12" t="inlineStr">
        <is>
          <t>Tampered IDs, expired sessions, approval-limit violations and cross-tenant requests are rejected; secrets and sensitive guest/payment fields are never written to logs.</t>
        </is>
      </c>
      <c r="Q148" s="12" t="inlineStr">
        <is>
          <t>Tenant/property scope; required fields; optimistic locking; timezone-safe dates; reason mandatory for overrides; currency precision; tax/rate totals; approval limit; no unbalanced or duplicate posting</t>
        </is>
      </c>
      <c r="R148" s="12" t="inlineStr">
        <is>
          <t>All revenue modules</t>
        </is>
      </c>
      <c r="S148" s="12" t="inlineStr">
        <is>
          <t>GET, POST, PUT/PATCH, DELETE /api/v1/finance-and-night-audit; lookup, validation and audit endpoints; idempotency for financial/booking writes; entities: folios, payments, refunds, invoices, credit_notes, cash_drawers, taxes, receivables</t>
        </is>
      </c>
      <c r="T148" s="12" t="inlineStr">
        <is>
          <t>Must Have</t>
        </is>
      </c>
      <c r="U148" s="12" t="inlineStr">
        <is>
          <t>MVP</t>
        </is>
      </c>
      <c r="V148" s="34" t="n">
        <v>5</v>
      </c>
      <c r="W148" s="12" t="inlineStr">
        <is>
          <t>S20-S22</t>
        </is>
      </c>
      <c r="X148" s="12" t="inlineStr">
        <is>
          <t>Backlog</t>
        </is>
      </c>
      <c r="Y148" s="13">
        <f>IF(X148="Done",1,IF(X148="QA",0.9,IF(X148="Code Review",0.75,IF(X148="In Development",0.5,IF(X148="Ready",0.1,0)))))</f>
        <v/>
      </c>
      <c r="Z148" s="12" t="n"/>
      <c r="AA148" s="12" t="inlineStr">
        <is>
          <t>TC-022-C</t>
        </is>
      </c>
      <c r="AB148" s="12" t="inlineStr">
        <is>
          <t>Approved screen design; story reviewed with Finance Manager; dependencies, API contract, role permissions and test data identified.</t>
        </is>
      </c>
      <c r="AC148" s="12" t="inlineStr">
        <is>
          <t>Code reviewed; unit, API, UI, RBAC and integration tests pass; accessibility and responsive states verified; audit evidence captured; product owner accepts in staging.</t>
        </is>
      </c>
      <c r="AD148" s="12" t="n"/>
    </row>
    <row r="149" ht="78" customHeight="1" s="43">
      <c r="A149" s="11" t="n">
        <v>1</v>
      </c>
      <c r="B149" s="11" t="n">
        <v>145</v>
      </c>
      <c r="C149" s="12" t="inlineStr">
        <is>
          <t>US-027-01</t>
        </is>
      </c>
      <c r="D149" s="12" t="inlineStr">
        <is>
          <t>View and find information in Reports Dashboard</t>
        </is>
      </c>
      <c r="E149" s="12" t="inlineStr">
        <is>
          <t>EPIC-20</t>
        </is>
      </c>
      <c r="F149" s="12" t="inlineStr">
        <is>
          <t>Analytics</t>
        </is>
      </c>
      <c r="G149" s="12" t="inlineStr">
        <is>
          <t>Management Reports</t>
        </is>
      </c>
      <c r="H149" s="11" t="inlineStr">
        <is>
          <t>SCR-027</t>
        </is>
      </c>
      <c r="I149" s="12" t="inlineStr">
        <is>
          <t>Reports Dashboard</t>
        </is>
      </c>
      <c r="J149" s="12" t="inlineStr">
        <is>
          <t>View / Search</t>
        </is>
      </c>
      <c r="K149" s="12" t="inlineStr">
        <is>
          <t>Property Owner</t>
        </is>
      </c>
      <c r="L149" s="12" t="inlineStr">
        <is>
          <t>As a Property Owner, I want to open Reports Dashboard and find relevant records using search, filters and sorting, so that I can make accurate operational decisions.</t>
        </is>
      </c>
      <c r="M149" s="12" t="inlineStr">
        <is>
          <t>Provides timely visibility for management reports and reduces manual lookup effort.</t>
        </is>
      </c>
      <c r="N149" s="12" t="inlineStr">
        <is>
          <t>Authenticated user; active property; view permission for Analytics; All operational modules data available.</t>
        </is>
      </c>
      <c r="O149" s="12" t="inlineStr">
        <is>
          <t>Given I am authenticated as Property Owner with access to the selected property, when I open Reports Dashboard,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49" s="12" t="inlineStr">
        <is>
          <t>Cross-property data never appears; unauthorized fields are masked; invalid filters do not break the screen; unavailable services return a controlled message.</t>
        </is>
      </c>
      <c r="Q149" s="12" t="inlineStr">
        <is>
          <t>Tenant/property scope; required fields; optimistic locking; timezone-safe dates; reason mandatory for overrides; valid status transition; linked-record integrity</t>
        </is>
      </c>
      <c r="R149" s="12" t="inlineStr">
        <is>
          <t>All operational modules</t>
        </is>
      </c>
      <c r="S149" s="12" t="inlineStr">
        <is>
          <t>GET, POST/PATCH /api/v1/reports-dashboard; lookup, validation and audit endpoints; idempotency for financial/booking writes; entities: report_definitions, report_runs, metric_snapshots</t>
        </is>
      </c>
      <c r="T149" s="12" t="inlineStr">
        <is>
          <t>Must Have</t>
        </is>
      </c>
      <c r="U149" s="12" t="inlineStr">
        <is>
          <t>MVP</t>
        </is>
      </c>
      <c r="V149" s="34" t="n">
        <v>3</v>
      </c>
      <c r="W149" s="12" t="inlineStr">
        <is>
          <t>S20-S22</t>
        </is>
      </c>
      <c r="X149" s="12" t="inlineStr">
        <is>
          <t>Backlog</t>
        </is>
      </c>
      <c r="Y149" s="13">
        <f>IF(X149="Done",1,IF(X149="QA",0.9,IF(X149="Code Review",0.75,IF(X149="In Development",0.5,IF(X149="Ready",0.1,0)))))</f>
        <v/>
      </c>
      <c r="Z149" s="12" t="n"/>
      <c r="AA149" s="12" t="inlineStr">
        <is>
          <t>TC-027-A</t>
        </is>
      </c>
      <c r="AB149" s="12" t="inlineStr">
        <is>
          <t>Approved screen design; story reviewed with Property Owner; dependencies, API contract, role permissions and test data identified.</t>
        </is>
      </c>
      <c r="AC149" s="12" t="inlineStr">
        <is>
          <t>Code reviewed; unit, API, UI, RBAC and integration tests pass; accessibility and responsive states verified; audit evidence captured; product owner accepts in staging.</t>
        </is>
      </c>
      <c r="AD149" s="12" t="n"/>
    </row>
    <row r="150" ht="78" customHeight="1" s="43">
      <c r="A150" s="11" t="n">
        <v>1</v>
      </c>
      <c r="B150" s="11" t="n">
        <v>146</v>
      </c>
      <c r="C150" s="12" t="inlineStr">
        <is>
          <t>US-027-02</t>
        </is>
      </c>
      <c r="D150" s="12" t="inlineStr">
        <is>
          <t>Complete the primary Reports Dashboard workflow</t>
        </is>
      </c>
      <c r="E150" s="12" t="inlineStr">
        <is>
          <t>EPIC-20</t>
        </is>
      </c>
      <c r="F150" s="12" t="inlineStr">
        <is>
          <t>Analytics</t>
        </is>
      </c>
      <c r="G150" s="12" t="inlineStr">
        <is>
          <t>Management Reports</t>
        </is>
      </c>
      <c r="H150" s="11" t="inlineStr">
        <is>
          <t>SCR-027</t>
        </is>
      </c>
      <c r="I150" s="12" t="inlineStr">
        <is>
          <t>Reports Dashboard</t>
        </is>
      </c>
      <c r="J150" s="12" t="inlineStr">
        <is>
          <t>Primary Workflow</t>
        </is>
      </c>
      <c r="K150" s="12" t="inlineStr">
        <is>
          <t>Property Owner</t>
        </is>
      </c>
      <c r="L150" s="12" t="inlineStr">
        <is>
          <t>As a Property Owner, I want to view, filter, search, drill down, export, refresh in Reports Dashboard, so that the management reports process is completed accurately without duplicate or inconsistent records.</t>
        </is>
      </c>
      <c r="M150" s="12" t="inlineStr">
        <is>
          <t>Enable analytics users to manage management reports through the Reports Dashboard workflow with real-time status, validations and traceability.</t>
        </is>
      </c>
      <c r="N150" s="12" t="inlineStr">
        <is>
          <t>View access confirmed; required masters and linked records exist; All operational modules services are available; approval limit is valid.</t>
        </is>
      </c>
      <c r="O15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reports dashboard workflow; invalid or conflicting actions are blocked with clear messages; saved changes appear in related screens; sensitive changes are auditable.</t>
        </is>
      </c>
      <c r="P150" s="12" t="inlineStr">
        <is>
          <t>Duplicate submission is idempotent; stale data returns a refresh/conflict message; invalid status transitions are blocked; partial failure rolls back without orphan records.</t>
        </is>
      </c>
      <c r="Q150" s="12" t="inlineStr">
        <is>
          <t>Tenant/property scope; required fields; optimistic locking; timezone-safe dates; reason mandatory for overrides; valid status transition; linked-record integrity</t>
        </is>
      </c>
      <c r="R150" s="12" t="inlineStr">
        <is>
          <t>All operational modules</t>
        </is>
      </c>
      <c r="S150" s="12" t="inlineStr">
        <is>
          <t>GET, POST/PATCH /api/v1/reports-dashboard; lookup, validation and audit endpoints; idempotency for financial/booking writes; entities: report_definitions, report_runs, metric_snapshots</t>
        </is>
      </c>
      <c r="T150" s="12" t="inlineStr">
        <is>
          <t>Must Have</t>
        </is>
      </c>
      <c r="U150" s="12" t="inlineStr">
        <is>
          <t>MVP</t>
        </is>
      </c>
      <c r="V150" s="34" t="n">
        <v>5</v>
      </c>
      <c r="W150" s="12" t="inlineStr">
        <is>
          <t>S20-S22</t>
        </is>
      </c>
      <c r="X150" s="12" t="inlineStr">
        <is>
          <t>Backlog</t>
        </is>
      </c>
      <c r="Y150" s="13">
        <f>IF(X150="Done",1,IF(X150="QA",0.9,IF(X150="Code Review",0.75,IF(X150="In Development",0.5,IF(X150="Ready",0.1,0)))))</f>
        <v/>
      </c>
      <c r="Z150" s="12" t="n"/>
      <c r="AA150" s="12" t="inlineStr">
        <is>
          <t>TC-027-B</t>
        </is>
      </c>
      <c r="AB150" s="12" t="inlineStr">
        <is>
          <t>Approved screen design; story reviewed with Property Owner; dependencies, API contract, role permissions and test data identified.</t>
        </is>
      </c>
      <c r="AC150" s="12" t="inlineStr">
        <is>
          <t>Code reviewed; unit, API, UI, RBAC and integration tests pass; accessibility and responsive states verified; audit evidence captured; product owner accepts in staging.</t>
        </is>
      </c>
      <c r="AD150" s="12" t="n"/>
    </row>
    <row r="151" ht="78" customHeight="1" s="43">
      <c r="A151" s="11" t="n">
        <v>1</v>
      </c>
      <c r="B151" s="11" t="n">
        <v>147</v>
      </c>
      <c r="C151" s="12" t="inlineStr">
        <is>
          <t>US-027-03</t>
        </is>
      </c>
      <c r="D151" s="12" t="inlineStr">
        <is>
          <t>Control permissions, overrides and audit for Reports Dashboard</t>
        </is>
      </c>
      <c r="E151" s="12" t="inlineStr">
        <is>
          <t>EPIC-20</t>
        </is>
      </c>
      <c r="F151" s="12" t="inlineStr">
        <is>
          <t>Analytics</t>
        </is>
      </c>
      <c r="G151" s="12" t="inlineStr">
        <is>
          <t>Management Reports</t>
        </is>
      </c>
      <c r="H151" s="11" t="inlineStr">
        <is>
          <t>SCR-027</t>
        </is>
      </c>
      <c r="I151" s="12" t="inlineStr">
        <is>
          <t>Reports Dashboard</t>
        </is>
      </c>
      <c r="J151" s="12" t="inlineStr">
        <is>
          <t>Security / Exceptions</t>
        </is>
      </c>
      <c r="K151" s="12" t="inlineStr">
        <is>
          <t>Property Owner</t>
        </is>
      </c>
      <c r="L151" s="12" t="inlineStr">
        <is>
          <t>As a department supervisor or auditor, I want sensitive actions in Reports Dashboard to follow permissions, approval limits and audit rules, so that resort operations remain secure, compliant and traceable.</t>
        </is>
      </c>
      <c r="M151" s="12" t="inlineStr">
        <is>
          <t>Reduces fraud, privacy leakage, unauthorized overrides and unresolved operational disputes.</t>
        </is>
      </c>
      <c r="N151" s="12" t="inlineStr">
        <is>
          <t>Roles, permissions, approval hierarchy and audit service are configured; allowed and denied test users exist.</t>
        </is>
      </c>
      <c r="O15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51" s="12" t="inlineStr">
        <is>
          <t>Tampered IDs, expired sessions, approval-limit violations and cross-tenant requests are rejected; secrets and sensitive guest/payment fields are never written to logs.</t>
        </is>
      </c>
      <c r="Q151" s="12" t="inlineStr">
        <is>
          <t>Tenant/property scope; required fields; optimistic locking; timezone-safe dates; reason mandatory for overrides; valid status transition; linked-record integrity</t>
        </is>
      </c>
      <c r="R151" s="12" t="inlineStr">
        <is>
          <t>All operational modules</t>
        </is>
      </c>
      <c r="S151" s="12" t="inlineStr">
        <is>
          <t>GET, POST/PATCH /api/v1/reports-dashboard; lookup, validation and audit endpoints; idempotency for financial/booking writes; entities: report_definitions, report_runs, metric_snapshots</t>
        </is>
      </c>
      <c r="T151" s="12" t="inlineStr">
        <is>
          <t>Must Have</t>
        </is>
      </c>
      <c r="U151" s="12" t="inlineStr">
        <is>
          <t>MVP</t>
        </is>
      </c>
      <c r="V151" s="34" t="n">
        <v>3</v>
      </c>
      <c r="W151" s="12" t="inlineStr">
        <is>
          <t>S20-S22</t>
        </is>
      </c>
      <c r="X151" s="12" t="inlineStr">
        <is>
          <t>Backlog</t>
        </is>
      </c>
      <c r="Y151" s="13">
        <f>IF(X151="Done",1,IF(X151="QA",0.9,IF(X151="Code Review",0.75,IF(X151="In Development",0.5,IF(X151="Ready",0.1,0)))))</f>
        <v/>
      </c>
      <c r="Z151" s="12" t="n"/>
      <c r="AA151" s="12" t="inlineStr">
        <is>
          <t>TC-027-C</t>
        </is>
      </c>
      <c r="AB151" s="12" t="inlineStr">
        <is>
          <t>Approved screen design; story reviewed with Property Owner; dependencies, API contract, role permissions and test data identified.</t>
        </is>
      </c>
      <c r="AC151" s="12" t="inlineStr">
        <is>
          <t>Code reviewed; unit, API, UI, RBAC and integration tests pass; accessibility and responsive states verified; audit evidence captured; product owner accepts in staging.</t>
        </is>
      </c>
      <c r="AD151" s="12" t="n"/>
    </row>
    <row r="152" ht="78" customHeight="1" s="43">
      <c r="A152" s="11" t="n">
        <v>1</v>
      </c>
      <c r="B152" s="11" t="n">
        <v>148</v>
      </c>
      <c r="C152" s="12" t="inlineStr">
        <is>
          <t>US-036-01</t>
        </is>
      </c>
      <c r="D152" s="12" t="inlineStr">
        <is>
          <t>View and find information in Payment and Cashiering Center</t>
        </is>
      </c>
      <c r="E152" s="12" t="inlineStr">
        <is>
          <t>EPIC-16</t>
        </is>
      </c>
      <c r="F152" s="12" t="inlineStr">
        <is>
          <t>Finance</t>
        </is>
      </c>
      <c r="G152" s="12" t="inlineStr">
        <is>
          <t>Cashiering</t>
        </is>
      </c>
      <c r="H152" s="11" t="inlineStr">
        <is>
          <t>SCR-036</t>
        </is>
      </c>
      <c r="I152" s="12" t="inlineStr">
        <is>
          <t>Payment and Cashiering Center</t>
        </is>
      </c>
      <c r="J152" s="12" t="inlineStr">
        <is>
          <t>View / Search</t>
        </is>
      </c>
      <c r="K152" s="12" t="inlineStr">
        <is>
          <t>Finance Manager</t>
        </is>
      </c>
      <c r="L152" s="12" t="inlineStr">
        <is>
          <t>As a Finance Manager, I want to open Payment and Cashiering Center and find relevant records using search, filters and sorting, so that I can make accurate operational decisions.</t>
        </is>
      </c>
      <c r="M152" s="12" t="inlineStr">
        <is>
          <t>Provides timely visibility for cashiering and reduces manual lookup effort.</t>
        </is>
      </c>
      <c r="N152" s="12" t="inlineStr">
        <is>
          <t>Authenticated user; active property; view permission for Finance; All revenue modules data available.</t>
        </is>
      </c>
      <c r="O152" s="12" t="inlineStr">
        <is>
          <t>Given I am authenticated as Finance Manager with access to the selected property, when I open Payment and Cashiering Center,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52" s="12" t="inlineStr">
        <is>
          <t>Cross-property data never appears; unauthorized fields are masked; invalid filters do not break the screen; unavailable services return a controlled message.</t>
        </is>
      </c>
      <c r="Q152" s="12" t="inlineStr">
        <is>
          <t>Tenant/property scope; required fields; optimistic locking; timezone-safe dates; reason mandatory for overrides; currency precision; tax/rate totals; approval limit; no unbalanced or duplicate posting</t>
        </is>
      </c>
      <c r="R152" s="12" t="inlineStr">
        <is>
          <t>All revenue modules</t>
        </is>
      </c>
      <c r="S152" s="12" t="inlineStr">
        <is>
          <t>GET, POST, PUT/PATCH, DELETE /api/v1/payment-and-cashiering-center; lookup, validation and audit endpoints; idempotency for financial/booking writes; entities: folios, payments, refunds, invoices, credit_notes, cash_drawers, taxes, receivables</t>
        </is>
      </c>
      <c r="T152" s="12" t="inlineStr">
        <is>
          <t>Must Have</t>
        </is>
      </c>
      <c r="U152" s="12" t="inlineStr">
        <is>
          <t>MVP</t>
        </is>
      </c>
      <c r="V152" s="34" t="n">
        <v>3</v>
      </c>
      <c r="W152" s="12" t="inlineStr">
        <is>
          <t>S20-S22</t>
        </is>
      </c>
      <c r="X152" s="12" t="inlineStr">
        <is>
          <t>Done</t>
        </is>
      </c>
      <c r="Y152" s="13" t="n">
        <v>1</v>
      </c>
      <c r="Z152" s="12" t="n"/>
      <c r="AA152" s="12" t="inlineStr">
        <is>
          <t>TC-036-A</t>
        </is>
      </c>
      <c r="AB152" s="12" t="inlineStr">
        <is>
          <t>Approved screen design; story reviewed with Finance Manager; dependencies, API contract, role permissions and test data identified.</t>
        </is>
      </c>
      <c r="AC152" s="12" t="inlineStr">
        <is>
          <t>Code reviewed; unit, API, UI, RBAC and integration tests pass; accessibility and responsive states verified; audit evidence captured; product owner accepts in staging.</t>
        </is>
      </c>
      <c r="AD152" s="12" t="inlineStr">
        <is>
          <t>Payment &amp; Cashiering Centre (mockup 036) at /payments. 5 KPI cards — Today's Collections with the percentage change against the previous day, Cash / Cards / UPI each with their share of the day's takings and payment count, and Outstanding across the open folios that still owe. Transaction table (Time, Guest/Booking, Room, Source, Method, Reference, Amount, Cashier, Status) with filters for Source, Shift, Payment Method, Date and a free-text search over guest, booking number, room and payment reference, plus Clear Filters. Selecting a row opens the Payment Details panel. A Cashier Shifts table below shows float, cash taken, expected, counted and variance per shift. GET /cashiering/summary, /transactions, /payments/{id}, /shifts, /options, /open-folios. Verified in Chrome: KPIs, filters and totals all reconcile against the ledger.</t>
        </is>
      </c>
    </row>
    <row r="153" ht="78" customHeight="1" s="43">
      <c r="A153" s="11" t="n">
        <v>1</v>
      </c>
      <c r="B153" s="11" t="n">
        <v>149</v>
      </c>
      <c r="C153" s="12" t="inlineStr">
        <is>
          <t>US-036-02</t>
        </is>
      </c>
      <c r="D153" s="12" t="inlineStr">
        <is>
          <t>Complete the primary Payment and Cashiering Center workflow</t>
        </is>
      </c>
      <c r="E153" s="12" t="inlineStr">
        <is>
          <t>EPIC-16</t>
        </is>
      </c>
      <c r="F153" s="12" t="inlineStr">
        <is>
          <t>Finance</t>
        </is>
      </c>
      <c r="G153" s="12" t="inlineStr">
        <is>
          <t>Cashiering</t>
        </is>
      </c>
      <c r="H153" s="11" t="inlineStr">
        <is>
          <t>SCR-036</t>
        </is>
      </c>
      <c r="I153" s="12" t="inlineStr">
        <is>
          <t>Payment and Cashiering Center</t>
        </is>
      </c>
      <c r="J153" s="12" t="inlineStr">
        <is>
          <t>Primary Workflow</t>
        </is>
      </c>
      <c r="K153" s="12" t="inlineStr">
        <is>
          <t>Finance Manager</t>
        </is>
      </c>
      <c r="L153" s="12" t="inlineStr">
        <is>
          <t>As a Finance Manager, I want to list, search, filter, view, create, edit, cancel/delete under policy, export in Payment and Cashiering Center, so that the cashiering process is completed accurately without duplicate or inconsistent records.</t>
        </is>
      </c>
      <c r="M153" s="12" t="inlineStr">
        <is>
          <t>Enable finance users to manage cashiering through the Payment and Cashiering Center workflow with real-time status, validations and traceability.</t>
        </is>
      </c>
      <c r="N153" s="12" t="inlineStr">
        <is>
          <t>View access confirmed; required masters and linked records exist; All revenue modules services are available; approval limit is valid.</t>
        </is>
      </c>
      <c r="O15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payment and cashiering center workflow; invalid or conflicting actions are blocked with clear messages; saved changes appear in related screens; sensitive changes are auditable.</t>
        </is>
      </c>
      <c r="P153" s="12" t="inlineStr">
        <is>
          <t>Duplicate submission is idempotent; stale data returns a refresh/conflict message; invalid status transitions are blocked; partial failure rolls back without orphan records.</t>
        </is>
      </c>
      <c r="Q153" s="12" t="inlineStr">
        <is>
          <t>Tenant/property scope; required fields; optimistic locking; timezone-safe dates; reason mandatory for overrides; currency precision; tax/rate totals; approval limit; no unbalanced or duplicate posting</t>
        </is>
      </c>
      <c r="R153" s="12" t="inlineStr">
        <is>
          <t>All revenue modules</t>
        </is>
      </c>
      <c r="S153" s="12" t="inlineStr">
        <is>
          <t>GET, POST, PUT/PATCH, DELETE /api/v1/payment-and-cashiering-center; lookup, validation and audit endpoints; idempotency for financial/booking writes; entities: folios, payments, refunds, invoices, credit_notes, cash_drawers, taxes, receivables</t>
        </is>
      </c>
      <c r="T153" s="12" t="inlineStr">
        <is>
          <t>Must Have</t>
        </is>
      </c>
      <c r="U153" s="12" t="inlineStr">
        <is>
          <t>MVP</t>
        </is>
      </c>
      <c r="V153" s="34" t="n">
        <v>8</v>
      </c>
      <c r="W153" s="12" t="inlineStr">
        <is>
          <t>S20-S22</t>
        </is>
      </c>
      <c r="X153" s="12" t="inlineStr">
        <is>
          <t>Done</t>
        </is>
      </c>
      <c r="Y153" s="13" t="n">
        <v>1</v>
      </c>
      <c r="Z153" s="12" t="n"/>
      <c r="AA153" s="12" t="inlineStr">
        <is>
          <t>TC-036-B</t>
        </is>
      </c>
      <c r="AB153" s="12" t="inlineStr">
        <is>
          <t>Approved screen design; story reviewed with Finance Manager; dependencies, API contract, role permissions and test data identified.</t>
        </is>
      </c>
      <c r="AC153" s="12" t="inlineStr">
        <is>
          <t>Code reviewed; unit, API, UI, RBAC and integration tests pass; accessibility and responsive states verified; audit evidence captured; product owner accepts in staging.</t>
        </is>
      </c>
      <c r="AD153" s="12" t="inlineStr">
        <is>
          <t>Collect Payment, Open Cashier Shift and Close Shift all built and verified end to end. Collecting calls the SAME ledger function (post_payment) the deposit screen and checkout call, so there is one record of money in the system and this screen is not a second one; it then adds the three facts the ledger has no opinion about — cashier, guest-facing reference, and drawer. New table finance.cashier_shifts (migration 0005_cashiering) plus payments.cashier_id / reference / notes / source. payments.cashier_shift_id had existed since the first migration pointing at a table that was never created; this is what it was for. A partial unique index allows only ONE open drawer per cashier. Closing a shift stores expected (float + cash taken), counted and variance — card and UPI never enter the drawer so they play no part in the count. Verified: float 5,000 + 3,000 cash = 8,000 expected, 7,900 counted, -100 recorded. The allocation panel apportions a payment across what the folio owed when it landed, reading charge_codes.revenue_category and falling back to the entry's own source_type (Room Charges, Taxes, No-Show Penalty, Reservation Change) — the parts always sum back to the payment. Receipt renders and prints from held data. NOT DONE: export (listed among this story's verbs), and edit/cancel of a payment, which is SCR-114 Folio Adjustment and SCR-115 Payment Reversal rather than this screen. NOT FAKED: outlets — there is no POS (SCR-013/083) and no outlets table, so the column shows the source the payment genuinely came from (Front Desk, Deposit, Checkout) and 'Restaurant &amp; POS' stays empty until the module exists; and 'Send to Guest', which is absent because there is no mail or SMS transport, with the screen saying so. 2026-09-10 EXPORT ADDED, story closed. Was held at Integration purely for want of an export. Built on a single shared helper (frontend/src/lib/csv.ts) rather than a fifth inline copy: four screens each growing their own CSV writer is four chances for the quoting to differ, and a comma inside a guest address silently splitting a column is a bug nobody reports because the file merely looks odd. RFC 4180 quoting (inner quotes doubled), CRLF rows and a UTF-8 BOM so Excel does not mangle the rupee sign or accented names. Verified by capturing the real Blob in Chrome, not by assuming the click worked. Cashiering exports the day's TAKINGS — the shift report handed over with the drawer — and exports exactly what the filters currently select, not the whole ledger. The endpoint already returned can_export (payments.export); the screen simply never used it. Verified: takings-2026-09-10.csv with the real transaction row.
[14 Sep 2026 defect sweep] DEFECT FOUND AND FIXED. The close-shift dialog computed expected cash as float + taken, while the server files float + taken - refunded. A drawer that had handed cash back was told it balanced and then filed a surplus of exactly the refunds: Lekhana counted 0 against a previewed expectation of 0 and recorded a 15,000 overage. The refunds line is now shown (it moves the total, so it belongs in the list that adds up to it), and a negative expectation is called out before the count is filed -- a till cannot hold less than nothing, so it always means the opening float was understated. Warned, not blocked: a cashier facing a genuinely odd drawer still has to record what they found. NOT CORRECTED IN DATA: two shifts closed with phantom variances (+15,000 on 14 Sep, +29,000 on 13 Sep) and there is no endpoint to annotate a closed count, by design.</t>
        </is>
      </c>
    </row>
    <row r="154" ht="78" customHeight="1" s="43">
      <c r="A154" s="11" t="n">
        <v>1</v>
      </c>
      <c r="B154" s="11" t="n">
        <v>150</v>
      </c>
      <c r="C154" s="12" t="inlineStr">
        <is>
          <t>US-036-03</t>
        </is>
      </c>
      <c r="D154" s="12" t="inlineStr">
        <is>
          <t>Control permissions, overrides and audit for Payment and Cashiering Center</t>
        </is>
      </c>
      <c r="E154" s="12" t="inlineStr">
        <is>
          <t>EPIC-16</t>
        </is>
      </c>
      <c r="F154" s="12" t="inlineStr">
        <is>
          <t>Finance</t>
        </is>
      </c>
      <c r="G154" s="12" t="inlineStr">
        <is>
          <t>Cashiering</t>
        </is>
      </c>
      <c r="H154" s="11" t="inlineStr">
        <is>
          <t>SCR-036</t>
        </is>
      </c>
      <c r="I154" s="12" t="inlineStr">
        <is>
          <t>Payment and Cashiering Center</t>
        </is>
      </c>
      <c r="J154" s="12" t="inlineStr">
        <is>
          <t>Security / Exceptions</t>
        </is>
      </c>
      <c r="K154" s="12" t="inlineStr">
        <is>
          <t>Finance Manager</t>
        </is>
      </c>
      <c r="L154" s="12" t="inlineStr">
        <is>
          <t>As a department supervisor or auditor, I want sensitive actions in Payment and Cashiering Center to follow permissions, approval limits and audit rules, so that resort operations remain secure, compliant and traceable.</t>
        </is>
      </c>
      <c r="M154" s="12" t="inlineStr">
        <is>
          <t>Reduces fraud, privacy leakage, unauthorized overrides and unresolved operational disputes.</t>
        </is>
      </c>
      <c r="N154" s="12" t="inlineStr">
        <is>
          <t>Roles, permissions, approval hierarchy and audit service are configured; allowed and denied test users exist.</t>
        </is>
      </c>
      <c r="O15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54" s="12" t="inlineStr">
        <is>
          <t>Tampered IDs, expired sessions, approval-limit violations and cross-tenant requests are rejected; secrets and sensitive guest/payment fields are never written to logs.</t>
        </is>
      </c>
      <c r="Q154" s="12" t="inlineStr">
        <is>
          <t>Tenant/property scope; required fields; optimistic locking; timezone-safe dates; reason mandatory for overrides; currency precision; tax/rate totals; approval limit; no unbalanced or duplicate posting</t>
        </is>
      </c>
      <c r="R154" s="12" t="inlineStr">
        <is>
          <t>All revenue modules</t>
        </is>
      </c>
      <c r="S154" s="12" t="inlineStr">
        <is>
          <t>GET, POST, PUT/PATCH, DELETE /api/v1/payment-and-cashiering-center; lookup, validation and audit endpoints; idempotency for financial/booking writes; entities: folios, payments, refunds, invoices, credit_notes, cash_drawers, taxes, receivables</t>
        </is>
      </c>
      <c r="T154" s="12" t="inlineStr">
        <is>
          <t>Must Have</t>
        </is>
      </c>
      <c r="U154" s="12" t="inlineStr">
        <is>
          <t>MVP</t>
        </is>
      </c>
      <c r="V154" s="34" t="n">
        <v>5</v>
      </c>
      <c r="W154" s="12" t="inlineStr">
        <is>
          <t>S20-S22</t>
        </is>
      </c>
      <c r="X154" s="12" t="inlineStr">
        <is>
          <t>Done</t>
        </is>
      </c>
      <c r="Y154" s="13" t="n">
        <v>1</v>
      </c>
      <c r="Z154" s="12" t="n"/>
      <c r="AA154" s="12" t="inlineStr">
        <is>
          <t>TC-036-C</t>
        </is>
      </c>
      <c r="AB154" s="12" t="inlineStr">
        <is>
          <t>Approved screen design; story reviewed with Finance Manager; dependencies, API contract, role permissions and test data identified.</t>
        </is>
      </c>
      <c r="AC154" s="12" t="inlineStr">
        <is>
          <t>Code reviewed; unit, API, UI, RBAC and integration tests pass; accessibility and responsive states verified; audit evidence captured; product owner accepts in staging.</t>
        </is>
      </c>
      <c r="AD154" s="12" t="inlineStr">
        <is>
          <t>Deny-by-default on every endpoint via chirala_common.authz: payments.view guards the summary, transactions, detail, shifts and open-folio reads; payments.create guards collecting; payments.edit guards opening and closing a shift. Closing SOMEBODY ELSE'S drawer additionally requires payments.approve — a cashier counts their own drawer, a supervisor counts another's. Buttons are greyed with the reason when the caller lacks the right, and the endpoint behind each one enforces it independently. Business guards verified against the running service: 409 on taking cash with no open drawer (there would be nothing to count it against), 422 on a card / UPI / bank / cheque / wallet payment with no reference, 422 on an unknown method, 409 on a second drawer for the same cashier, 409 on closing a shift twice, 409 on paying into a closed folio. Audit events written for payment.collected, cashier_shift.opened and cashier_shift.closed, each carrying actor, amounts and the resulting balance or variance. Grants were already in place from migration 0007_payments_grants, so no new IAM migration was needed.
[14 Sep 2026 defect sweep] Cross-tenant probe: 12 finance endpoints called with one tenant's credentials asking for another's property -- all refused 403. Cash refund against a closed or absent drawer refused 409. Two knock-ons found and fixed elsewhere: _open_shift_of resolves the drawer from the CALLER's user, so a service credential (user_id NULL) posts a cash refund into no drawer at all; and finance.refunds was not written by the deposit refund route, so the same payment stayed refundable twice.</t>
        </is>
      </c>
    </row>
    <row r="155" ht="78" customHeight="1" s="43">
      <c r="A155" s="11" t="n">
        <v>1</v>
      </c>
      <c r="B155" s="11" t="n">
        <v>151</v>
      </c>
      <c r="C155" s="12" t="inlineStr">
        <is>
          <t>US-001-01</t>
        </is>
      </c>
      <c r="D155" s="12" t="inlineStr">
        <is>
          <t>View and find information in Operations Dashboard</t>
        </is>
      </c>
      <c r="E155" s="12" t="inlineStr">
        <is>
          <t>EPIC-01</t>
        </is>
      </c>
      <c r="F155" s="12" t="inlineStr">
        <is>
          <t>Overview</t>
        </is>
      </c>
      <c r="G155" s="12" t="inlineStr">
        <is>
          <t>Operations Control</t>
        </is>
      </c>
      <c r="H155" s="11" t="inlineStr">
        <is>
          <t>SCR-001</t>
        </is>
      </c>
      <c r="I155" s="12" t="inlineStr">
        <is>
          <t>Operations Dashboard</t>
        </is>
      </c>
      <c r="J155" s="12" t="inlineStr">
        <is>
          <t>View / Search</t>
        </is>
      </c>
      <c r="K155" s="12" t="inlineStr">
        <is>
          <t>Property Owner</t>
        </is>
      </c>
      <c r="L155" s="12" t="inlineStr">
        <is>
          <t>As a Property Owner, I want to open Operations Dashboard and find relevant records using search, filters and sorting, so that I can make accurate operational decisions.</t>
        </is>
      </c>
      <c r="M155" s="12" t="inlineStr">
        <is>
          <t>Provides timely visibility for operations control and reduces manual lookup effort.</t>
        </is>
      </c>
      <c r="N155" s="12" t="inlineStr">
        <is>
          <t>Authenticated user; active property; view permission for Overview; All operational modules data available.</t>
        </is>
      </c>
      <c r="O155" s="12" t="inlineStr">
        <is>
          <t>Given I am authenticated as Property Owner with access to the selected property, when I open Operations Dashboard,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55" s="12" t="inlineStr">
        <is>
          <t>Cross-property data never appears; unauthorized fields are masked; invalid filters do not break the screen; unavailable services return a controlled message.</t>
        </is>
      </c>
      <c r="Q155" s="12" t="inlineStr">
        <is>
          <t>Tenant/property scope; required fields; optimistic locking; timezone-safe dates; reason mandatory for overrides; valid status transition; linked-record integrity</t>
        </is>
      </c>
      <c r="R155" s="12" t="inlineStr">
        <is>
          <t>All operational modules</t>
        </is>
      </c>
      <c r="S155" s="12" t="inlineStr">
        <is>
          <t>GET, POST/PATCH /api/v1/operations-dashboard; lookup, validation and audit endpoints; idempotency for financial/booking writes; entities: dashboard_snapshots, operational_metrics</t>
        </is>
      </c>
      <c r="T155" s="12" t="inlineStr">
        <is>
          <t>Must Have</t>
        </is>
      </c>
      <c r="U155" s="12" t="inlineStr">
        <is>
          <t>MVP</t>
        </is>
      </c>
      <c r="V155" s="34" t="n">
        <v>3</v>
      </c>
      <c r="W155" s="12" t="inlineStr">
        <is>
          <t>S26-S27</t>
        </is>
      </c>
      <c r="X155" s="12" t="inlineStr">
        <is>
          <t>Done</t>
        </is>
      </c>
      <c r="Y155" s="13" t="n">
        <v>1</v>
      </c>
      <c r="Z155" s="12" t="n"/>
      <c r="AA155" s="12" t="inlineStr">
        <is>
          <t>TC-001-A</t>
        </is>
      </c>
      <c r="AB155" s="12" t="inlineStr">
        <is>
          <t>Approved screen design; story reviewed with Property Owner; dependencies, API contract, role permissions and test data identified.</t>
        </is>
      </c>
      <c r="AC155" s="12" t="inlineStr">
        <is>
          <t>Code reviewed; unit, API, UI, RBAC and integration tests pass; accessibility and responsive states verified; audit evidence captured; product owner accepts in staging.</t>
        </is>
      </c>
      <c r="AD155" s="12" t="inlineStr">
        <is>
          <t>Dashboard view/search: live KPIs, room status, arrivals, 7-day chart from /flows/dashboard (booking-core + finance). Verified end-to-end.
[14 Sep 2026 defect sweep] DEFECT FOUND AND PARTLY FIXED. Arrivals and Departures were counting the booking, not the event. Departures matched departure_date = business date, so six guests who checked out of Lekhana on 13 Sep against booked departures of 15 Sep, 16 Sep and 14 Oct -- all early departures -- showed as ZERO departures on a day seven rooms emptied. Arrivals excluded checked_out, while the yesterday figure it was compared against included it, so a same-day guest vanished from today and still counted in the delta: 0 arrivals shown against a -2 trend computed on a different definition. Both now count the stay (booking.stays), and the local calendar day is resolved in the property timezone rather than UTC -- one checkout at 2026-09-12 18:34Z is 00:04 IST on the 13th and belonged to the 13th. Verified 11-14 Sep: 1/1, 2/1, 6/7, 0/0. STILL OPEN: Occupancy has the same asymmetry and is NOT fixed. Today's query is status='checked_in'; the previous-day query is status IN ('checked_in','checked_out'). The same date reads 0% as today and 75% as yesterday, and every historical date reads 0% because every unit is now checked out. Status moved to QA for this reason.
[14 Sep 2026 occupancy resolved] OCCUPANCY NOW FIXED; story returns to Done. Both the today and the previous-day counts ask one question -- was somebody asleep in that room that night -- answered from booking.stays in the property's timezone. A guest still in the house counts on their booking, which is what an overstay is; a guest who has gone counts for the nights they were actually there, not the nights they reserved. Verified 10-14 Sep: every day's prev_occupancy now equals the previous day's occupancy exactly (0,0,8,0,0), where before the same date answered 0% as today and 75% as yesterday. Cross-checked against an independent path: occupancy reports one room occupied on the night of 12 Sep (302, likitha, in on the 12th, out on the 13th) and the night audit charged exactly one room_night of 3,000 for that date -- occupancy and billing now share a definition, which is the property that was missing.</t>
        </is>
      </c>
    </row>
    <row r="156" ht="78" customHeight="1" s="43">
      <c r="A156" s="11" t="n">
        <v>1</v>
      </c>
      <c r="B156" s="11" t="n">
        <v>152</v>
      </c>
      <c r="C156" s="12" t="inlineStr">
        <is>
          <t>US-001-02</t>
        </is>
      </c>
      <c r="D156" s="12" t="inlineStr">
        <is>
          <t>Complete the primary Operations Dashboard workflow</t>
        </is>
      </c>
      <c r="E156" s="12" t="inlineStr">
        <is>
          <t>EPIC-01</t>
        </is>
      </c>
      <c r="F156" s="12" t="inlineStr">
        <is>
          <t>Overview</t>
        </is>
      </c>
      <c r="G156" s="12" t="inlineStr">
        <is>
          <t>Operations Control</t>
        </is>
      </c>
      <c r="H156" s="11" t="inlineStr">
        <is>
          <t>SCR-001</t>
        </is>
      </c>
      <c r="I156" s="12" t="inlineStr">
        <is>
          <t>Operations Dashboard</t>
        </is>
      </c>
      <c r="J156" s="12" t="inlineStr">
        <is>
          <t>Primary Workflow</t>
        </is>
      </c>
      <c r="K156" s="12" t="inlineStr">
        <is>
          <t>Property Owner</t>
        </is>
      </c>
      <c r="L156" s="12" t="inlineStr">
        <is>
          <t>As a Property Owner, I want to view, filter, search, drill down, export, refresh in Operations Dashboard, so that the operations control process is completed accurately without duplicate or inconsistent records.</t>
        </is>
      </c>
      <c r="M156" s="12" t="inlineStr">
        <is>
          <t>Enable overview users to manage operations control through the Operations Dashboard workflow with real-time status, validations and traceability.</t>
        </is>
      </c>
      <c r="N156" s="12" t="inlineStr">
        <is>
          <t>View access confirmed; required masters and linked records exist; All operational modules services are available; approval limit is valid.</t>
        </is>
      </c>
      <c r="O15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operations dashboard workflow; invalid or conflicting actions are blocked with clear messages; saved changes appear in related screens; sensitive changes are auditable.</t>
        </is>
      </c>
      <c r="P156" s="12" t="inlineStr">
        <is>
          <t>Duplicate submission is idempotent; stale data returns a refresh/conflict message; invalid status transitions are blocked; partial failure rolls back without orphan records.</t>
        </is>
      </c>
      <c r="Q156" s="12" t="inlineStr">
        <is>
          <t>Tenant/property scope; required fields; optimistic locking; timezone-safe dates; reason mandatory for overrides; valid status transition; linked-record integrity</t>
        </is>
      </c>
      <c r="R156" s="12" t="inlineStr">
        <is>
          <t>All operational modules</t>
        </is>
      </c>
      <c r="S156" s="12" t="inlineStr">
        <is>
          <t>GET, POST/PATCH /api/v1/operations-dashboard; lookup, validation and audit endpoints; idempotency for financial/booking writes; entities: dashboard_snapshots, operational_metrics</t>
        </is>
      </c>
      <c r="T156" s="12" t="inlineStr">
        <is>
          <t>Must Have</t>
        </is>
      </c>
      <c r="U156" s="12" t="inlineStr">
        <is>
          <t>MVP</t>
        </is>
      </c>
      <c r="V156" s="34" t="n">
        <v>5</v>
      </c>
      <c r="W156" s="12" t="inlineStr">
        <is>
          <t>S26-S27</t>
        </is>
      </c>
      <c r="X156" s="12" t="inlineStr">
        <is>
          <t>Done</t>
        </is>
      </c>
      <c r="Y156" s="13" t="n">
        <v>1</v>
      </c>
      <c r="Z156" s="12" t="n"/>
      <c r="AA156" s="12" t="inlineStr">
        <is>
          <t>TC-001-B</t>
        </is>
      </c>
      <c r="AB156" s="12" t="inlineStr">
        <is>
          <t>Approved screen design; story reviewed with Property Owner; dependencies, API contract, role permissions and test data identified.</t>
        </is>
      </c>
      <c r="AC156" s="12" t="inlineStr">
        <is>
          <t>Code reviewed; unit, API, UI, RBAC and integration tests pass; accessibility and responsive states verified; audit evidence captured; product owner accepts in staging.</t>
        </is>
      </c>
      <c r="AD156" s="12" t="inlineStr">
        <is>
          <t>Dashboard primary workflow: real aggregated metrics via gateway; auto-refresh; verified with seeded + live bookings.
[14 Sep 2026 defect sweep] Room Status vs Stayview disagree on the same house at the same moment: the dashboard reports 4 Available and 8 Cleaning, the rack reports 12 Vacant and 0 Dirty. Both are internally defensible -- the dashboard excludes rooms being cleaned from availability, the rack counts only hk_status='dirty' and Lekhana's eight rooms are 'cleaning' -- and together they are contradictory. NOT FIXED: which one is right is a product decision about whether a room mid-clean is sellable.
[14 Sep 2026 availability resolved] RESOLVED. The 4-vs-12 mismatch was not the pair of numbers -- vacant (no guest) and available-to-sell (vacant AND clean) are different things a hotel needs both of, and collapsing them to one figure would lose that. What was broken is that the Stayview housekeeping chip counted only hk_status='dirty' while all eight of Lekhana's rooms are 'cleaning', so the chip that should have accounted for the gap read zero and nothing on that screen explained how twelve empty rooms left four to sell. The dashboard has always counted the pair. Stayview now counts IN ('dirty','cleaning') and the chip is named for what it holds -- Not ready -- since a room being cleaned is not dirty. 'vacant' is deliberately NOT reduced by it: a vacant dirty room is still vacant, it is simply not sellable yet. Verified across all three screens: Stayview vacant 12 / not ready 8, Dashboard available 4 / cleaning 8, Today's Rack available 4 / not ready 8 -- 12 - 8 = 4 reconciles. Today's Rack needed no change; it already bucketed both states correctly. RESIDUAL FRAGILITY, NOT FIXED: the dashboard reads operations.room_condition.cleanliness and Stayview reads the latest operations.room_status_events.status -- two tables for one fact. They agree today (both report 8 cleaning, checked) but nothing keeps them in step; deriving one from the other is a larger change than this.</t>
        </is>
      </c>
    </row>
    <row r="157" ht="78" customHeight="1" s="43">
      <c r="A157" s="11" t="n">
        <v>1</v>
      </c>
      <c r="B157" s="11" t="n">
        <v>153</v>
      </c>
      <c r="C157" s="12" t="inlineStr">
        <is>
          <t>US-001-03</t>
        </is>
      </c>
      <c r="D157" s="12" t="inlineStr">
        <is>
          <t>Control permissions, overrides and audit for Operations Dashboard</t>
        </is>
      </c>
      <c r="E157" s="12" t="inlineStr">
        <is>
          <t>EPIC-01</t>
        </is>
      </c>
      <c r="F157" s="12" t="inlineStr">
        <is>
          <t>Overview</t>
        </is>
      </c>
      <c r="G157" s="12" t="inlineStr">
        <is>
          <t>Operations Control</t>
        </is>
      </c>
      <c r="H157" s="11" t="inlineStr">
        <is>
          <t>SCR-001</t>
        </is>
      </c>
      <c r="I157" s="12" t="inlineStr">
        <is>
          <t>Operations Dashboard</t>
        </is>
      </c>
      <c r="J157" s="12" t="inlineStr">
        <is>
          <t>Security / Exceptions</t>
        </is>
      </c>
      <c r="K157" s="12" t="inlineStr">
        <is>
          <t>Property Owner</t>
        </is>
      </c>
      <c r="L157" s="12" t="inlineStr">
        <is>
          <t>As a department supervisor or auditor, I want sensitive actions in Operations Dashboard to follow permissions, approval limits and audit rules, so that resort operations remain secure, compliant and traceable.</t>
        </is>
      </c>
      <c r="M157" s="12" t="inlineStr">
        <is>
          <t>Reduces fraud, privacy leakage, unauthorized overrides and unresolved operational disputes.</t>
        </is>
      </c>
      <c r="N157" s="12" t="inlineStr">
        <is>
          <t>Roles, permissions, approval hierarchy and audit service are configured; allowed and denied test users exist.</t>
        </is>
      </c>
      <c r="O15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57" s="12" t="inlineStr">
        <is>
          <t>Tampered IDs, expired sessions, approval-limit violations and cross-tenant requests are rejected; secrets and sensitive guest/payment fields are never written to logs.</t>
        </is>
      </c>
      <c r="Q157" s="12" t="inlineStr">
        <is>
          <t>Tenant/property scope; required fields; optimistic locking; timezone-safe dates; reason mandatory for overrides; valid status transition; linked-record integrity</t>
        </is>
      </c>
      <c r="R157" s="12" t="inlineStr">
        <is>
          <t>All operational modules</t>
        </is>
      </c>
      <c r="S157" s="12" t="inlineStr">
        <is>
          <t>GET, POST/PATCH /api/v1/operations-dashboard; lookup, validation and audit endpoints; idempotency for financial/booking writes; entities: dashboard_snapshots, operational_metrics</t>
        </is>
      </c>
      <c r="T157" s="12" t="inlineStr">
        <is>
          <t>Must Have</t>
        </is>
      </c>
      <c r="U157" s="12" t="inlineStr">
        <is>
          <t>MVP</t>
        </is>
      </c>
      <c r="V157" s="34" t="n">
        <v>3</v>
      </c>
      <c r="W157" s="12" t="inlineStr">
        <is>
          <t>S26-S27</t>
        </is>
      </c>
      <c r="X157" s="12" t="inlineStr">
        <is>
          <t>Done</t>
        </is>
      </c>
      <c r="Y157" s="13" t="n">
        <v>1</v>
      </c>
      <c r="Z157" s="12" t="n"/>
      <c r="AA157" s="12" t="inlineStr">
        <is>
          <t>TC-001-C</t>
        </is>
      </c>
      <c r="AB157" s="12" t="inlineStr">
        <is>
          <t>Approved screen design; story reviewed with Property Owner; dependencies, API contract, role permissions and test data identified.</t>
        </is>
      </c>
      <c r="AC157" s="12" t="inlineStr">
        <is>
          <t>Code reviewed; unit, API, UI, RBAC and integration tests pass; accessibility and responsive states verified; audit evidence captured; product owner accepts in staging.</t>
        </is>
      </c>
      <c r="AD157" s="12" t="inlineStr">
        <is>
          <t>Security/exceptions pending: auth/RBAC/audit not yet implemented. 2026-09-10 CLOSED. The note 'auth/RBAC/audit not yet implemented' was stale. The dashboard endpoint is guarded on dashboard.view (routes.py), which is granted to 7 roles — the widest grant in the system, correctly, since a dashboard that 403s is useless. Verified by reading the guard rather than assuming.</t>
        </is>
      </c>
    </row>
    <row r="158" ht="78" customHeight="1" s="43">
      <c r="A158" s="11" t="n">
        <v>2</v>
      </c>
      <c r="B158" s="11" t="n">
        <v>154</v>
      </c>
      <c r="C158" s="12" t="inlineStr">
        <is>
          <t>US-009-01</t>
        </is>
      </c>
      <c r="D158" s="12" t="inlineStr">
        <is>
          <t>View and find information in Guest Profile</t>
        </is>
      </c>
      <c r="E158" s="12" t="inlineStr">
        <is>
          <t>EPIC-06</t>
        </is>
      </c>
      <c r="F158" s="12" t="inlineStr">
        <is>
          <t>Guest CRM</t>
        </is>
      </c>
      <c r="G158" s="12" t="inlineStr">
        <is>
          <t>Guest 360</t>
        </is>
      </c>
      <c r="H158" s="11" t="inlineStr">
        <is>
          <t>SCR-009</t>
        </is>
      </c>
      <c r="I158" s="12" t="inlineStr">
        <is>
          <t>Guest Profile</t>
        </is>
      </c>
      <c r="J158" s="12" t="inlineStr">
        <is>
          <t>View / Search</t>
        </is>
      </c>
      <c r="K158" s="12" t="inlineStr">
        <is>
          <t>CRM Manager</t>
        </is>
      </c>
      <c r="L158" s="12" t="inlineStr">
        <is>
          <t>As a CRM Manager, I want to open Guest Profile and find relevant records using search, filters and sorting, so that I can make accurate operational decisions.</t>
        </is>
      </c>
      <c r="M158" s="12" t="inlineStr">
        <is>
          <t>Provides timely visibility for guest 360 and reduces manual lookup effort.</t>
        </is>
      </c>
      <c r="N158" s="12" t="inlineStr">
        <is>
          <t>Authenticated user; active property; view permission for Guest CRM; Reservations, Communications data available.</t>
        </is>
      </c>
      <c r="O158" s="12" t="inlineStr">
        <is>
          <t>Given I am authenticated as CRM Manager with access to the selected property, when I open Guest Profile,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58" s="12" t="inlineStr">
        <is>
          <t>Cross-property data never appears; unauthorized fields are masked; invalid filters do not break the screen; unavailable services return a controlled message.</t>
        </is>
      </c>
      <c r="Q158" s="12" t="inlineStr">
        <is>
          <t>Tenant/property scope; required fields; optimistic locking; timezone-safe dates; reason mandatory for overrides; duplicate detection; consent and retention policy; sensitive document masking</t>
        </is>
      </c>
      <c r="R158" s="12" t="inlineStr">
        <is>
          <t>Reservations, Communications</t>
        </is>
      </c>
      <c r="S158" s="12" t="inlineStr">
        <is>
          <t>GET, POST, PUT/PATCH, DELETE /api/v1/guest-profile; lookup, validation and audit endpoints; idempotency for financial/booking writes; entities: guests, guest_preferences, consents, documents, loyalty_accounts</t>
        </is>
      </c>
      <c r="T158" s="12" t="inlineStr">
        <is>
          <t>Should Have</t>
        </is>
      </c>
      <c r="U158" s="12" t="inlineStr">
        <is>
          <t>Release 1.1</t>
        </is>
      </c>
      <c r="V158" s="34" t="n">
        <v>3</v>
      </c>
      <c r="W158" s="12" t="inlineStr">
        <is>
          <t>S08-S09</t>
        </is>
      </c>
      <c r="X158" s="12" t="inlineStr">
        <is>
          <t>Backlog</t>
        </is>
      </c>
      <c r="Y158" s="13">
        <f>IF(X158="Done",1,IF(X158="QA",0.9,IF(X158="Code Review",0.75,IF(X158="In Development",0.5,IF(X158="Ready",0.1,0)))))</f>
        <v/>
      </c>
      <c r="Z158" s="12" t="n"/>
      <c r="AA158" s="12" t="inlineStr">
        <is>
          <t>TC-009-A</t>
        </is>
      </c>
      <c r="AB158" s="12" t="inlineStr">
        <is>
          <t>Approved screen design; story reviewed with CRM Manager; dependencies, API contract, role permissions and test data identified.</t>
        </is>
      </c>
      <c r="AC158" s="12" t="inlineStr">
        <is>
          <t>Code reviewed; unit, API, UI, RBAC and integration tests pass; accessibility and responsive states verified; audit evidence captured; product owner accepts in staging.</t>
        </is>
      </c>
      <c r="AD158" s="12" t="n"/>
    </row>
    <row r="159" ht="78" customHeight="1" s="43">
      <c r="A159" s="11" t="n">
        <v>2</v>
      </c>
      <c r="B159" s="11" t="n">
        <v>155</v>
      </c>
      <c r="C159" s="12" t="inlineStr">
        <is>
          <t>US-009-02</t>
        </is>
      </c>
      <c r="D159" s="12" t="inlineStr">
        <is>
          <t>Complete the primary Guest Profile workflow</t>
        </is>
      </c>
      <c r="E159" s="12" t="inlineStr">
        <is>
          <t>EPIC-06</t>
        </is>
      </c>
      <c r="F159" s="12" t="inlineStr">
        <is>
          <t>Guest CRM</t>
        </is>
      </c>
      <c r="G159" s="12" t="inlineStr">
        <is>
          <t>Guest 360</t>
        </is>
      </c>
      <c r="H159" s="11" t="inlineStr">
        <is>
          <t>SCR-009</t>
        </is>
      </c>
      <c r="I159" s="12" t="inlineStr">
        <is>
          <t>Guest Profile</t>
        </is>
      </c>
      <c r="J159" s="12" t="inlineStr">
        <is>
          <t>Primary Workflow</t>
        </is>
      </c>
      <c r="K159" s="12" t="inlineStr">
        <is>
          <t>CRM Manager</t>
        </is>
      </c>
      <c r="L159" s="12" t="inlineStr">
        <is>
          <t>As a CRM Manager, I want to list, search, filter, view, create, edit, cancel/delete under policy, export in Guest Profile, so that the guest 360 process is completed accurately without duplicate or inconsistent records.</t>
        </is>
      </c>
      <c r="M159" s="12" t="inlineStr">
        <is>
          <t>Enable guest crm users to manage guest 360 through the Guest Profile workflow with real-time status, validations and traceability.</t>
        </is>
      </c>
      <c r="N159" s="12" t="inlineStr">
        <is>
          <t>View access confirmed; required masters and linked records exist; Reservations, Communications services are available; approval limit is valid.</t>
        </is>
      </c>
      <c r="O15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profile workflow; invalid or conflicting actions are blocked with clear messages; saved changes appear in related screens; sensitive changes are auditable.</t>
        </is>
      </c>
      <c r="P159" s="12" t="inlineStr">
        <is>
          <t>Duplicate submission is idempotent; stale data returns a refresh/conflict message; invalid status transitions are blocked; partial failure rolls back without orphan records.</t>
        </is>
      </c>
      <c r="Q159" s="12" t="inlineStr">
        <is>
          <t>Tenant/property scope; required fields; optimistic locking; timezone-safe dates; reason mandatory for overrides; duplicate detection; consent and retention policy; sensitive document masking</t>
        </is>
      </c>
      <c r="R159" s="12" t="inlineStr">
        <is>
          <t>Reservations, Communications</t>
        </is>
      </c>
      <c r="S159" s="12" t="inlineStr">
        <is>
          <t>GET, POST, PUT/PATCH, DELETE /api/v1/guest-profile; lookup, validation and audit endpoints; idempotency for financial/booking writes; entities: guests, guest_preferences, consents, documents, loyalty_accounts</t>
        </is>
      </c>
      <c r="T159" s="12" t="inlineStr">
        <is>
          <t>Should Have</t>
        </is>
      </c>
      <c r="U159" s="12" t="inlineStr">
        <is>
          <t>Release 1.1</t>
        </is>
      </c>
      <c r="V159" s="34" t="n">
        <v>5</v>
      </c>
      <c r="W159" s="12" t="inlineStr">
        <is>
          <t>S08-S09</t>
        </is>
      </c>
      <c r="X159" s="12" t="inlineStr">
        <is>
          <t>Backlog</t>
        </is>
      </c>
      <c r="Y159" s="13">
        <f>IF(X159="Done",1,IF(X159="QA",0.9,IF(X159="Code Review",0.75,IF(X159="In Development",0.5,IF(X159="Ready",0.1,0)))))</f>
        <v/>
      </c>
      <c r="Z159" s="12" t="n"/>
      <c r="AA159" s="12" t="inlineStr">
        <is>
          <t>TC-009-B</t>
        </is>
      </c>
      <c r="AB159" s="12" t="inlineStr">
        <is>
          <t>Approved screen design; story reviewed with CRM Manager; dependencies, API contract, role permissions and test data identified.</t>
        </is>
      </c>
      <c r="AC159" s="12" t="inlineStr">
        <is>
          <t>Code reviewed; unit, API, UI, RBAC and integration tests pass; accessibility and responsive states verified; audit evidence captured; product owner accepts in staging.</t>
        </is>
      </c>
      <c r="AD159" s="12" t="n"/>
    </row>
    <row r="160" ht="78" customHeight="1" s="43">
      <c r="A160" s="11" t="n">
        <v>2</v>
      </c>
      <c r="B160" s="11" t="n">
        <v>156</v>
      </c>
      <c r="C160" s="12" t="inlineStr">
        <is>
          <t>US-009-03</t>
        </is>
      </c>
      <c r="D160" s="12" t="inlineStr">
        <is>
          <t>Control permissions, overrides and audit for Guest Profile</t>
        </is>
      </c>
      <c r="E160" s="12" t="inlineStr">
        <is>
          <t>EPIC-06</t>
        </is>
      </c>
      <c r="F160" s="12" t="inlineStr">
        <is>
          <t>Guest CRM</t>
        </is>
      </c>
      <c r="G160" s="12" t="inlineStr">
        <is>
          <t>Guest 360</t>
        </is>
      </c>
      <c r="H160" s="11" t="inlineStr">
        <is>
          <t>SCR-009</t>
        </is>
      </c>
      <c r="I160" s="12" t="inlineStr">
        <is>
          <t>Guest Profile</t>
        </is>
      </c>
      <c r="J160" s="12" t="inlineStr">
        <is>
          <t>Security / Exceptions</t>
        </is>
      </c>
      <c r="K160" s="12" t="inlineStr">
        <is>
          <t>CRM Manager</t>
        </is>
      </c>
      <c r="L160" s="12" t="inlineStr">
        <is>
          <t>As a department supervisor or auditor, I want sensitive actions in Guest Profile to follow permissions, approval limits and audit rules, so that resort operations remain secure, compliant and traceable.</t>
        </is>
      </c>
      <c r="M160" s="12" t="inlineStr">
        <is>
          <t>Reduces fraud, privacy leakage, unauthorized overrides and unresolved operational disputes.</t>
        </is>
      </c>
      <c r="N160" s="12" t="inlineStr">
        <is>
          <t>Roles, permissions, approval hierarchy and audit service are configured; allowed and denied test users exist.</t>
        </is>
      </c>
      <c r="O16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60" s="12" t="inlineStr">
        <is>
          <t>Tampered IDs, expired sessions, approval-limit violations and cross-tenant requests are rejected; secrets and sensitive guest/payment fields are never written to logs.</t>
        </is>
      </c>
      <c r="Q160" s="12" t="inlineStr">
        <is>
          <t>Tenant/property scope; required fields; optimistic locking; timezone-safe dates; reason mandatory for overrides; duplicate detection; consent and retention policy; sensitive document masking</t>
        </is>
      </c>
      <c r="R160" s="12" t="inlineStr">
        <is>
          <t>Reservations, Communications</t>
        </is>
      </c>
      <c r="S160" s="12" t="inlineStr">
        <is>
          <t>GET, POST, PUT/PATCH, DELETE /api/v1/guest-profile; lookup, validation and audit endpoints; idempotency for financial/booking writes; entities: guests, guest_preferences, consents, documents, loyalty_accounts</t>
        </is>
      </c>
      <c r="T160" s="12" t="inlineStr">
        <is>
          <t>Should Have</t>
        </is>
      </c>
      <c r="U160" s="12" t="inlineStr">
        <is>
          <t>Release 1.1</t>
        </is>
      </c>
      <c r="V160" s="34" t="n">
        <v>3</v>
      </c>
      <c r="W160" s="12" t="inlineStr">
        <is>
          <t>S08-S09</t>
        </is>
      </c>
      <c r="X160" s="12" t="inlineStr">
        <is>
          <t>Backlog</t>
        </is>
      </c>
      <c r="Y160" s="13">
        <f>IF(X160="Done",1,IF(X160="QA",0.9,IF(X160="Code Review",0.75,IF(X160="In Development",0.5,IF(X160="Ready",0.1,0)))))</f>
        <v/>
      </c>
      <c r="Z160" s="12" t="n"/>
      <c r="AA160" s="12" t="inlineStr">
        <is>
          <t>TC-009-C</t>
        </is>
      </c>
      <c r="AB160" s="12" t="inlineStr">
        <is>
          <t>Approved screen design; story reviewed with CRM Manager; dependencies, API contract, role permissions and test data identified.</t>
        </is>
      </c>
      <c r="AC160" s="12" t="inlineStr">
        <is>
          <t>Code reviewed; unit, API, UI, RBAC and integration tests pass; accessibility and responsive states verified; audit evidence captured; product owner accepts in staging.</t>
        </is>
      </c>
      <c r="AD160" s="12" t="n"/>
    </row>
    <row r="161" ht="78" customHeight="1" s="43">
      <c r="A161" s="11" t="n">
        <v>2</v>
      </c>
      <c r="B161" s="11" t="n">
        <v>157</v>
      </c>
      <c r="C161" s="12" t="inlineStr">
        <is>
          <t>US-010-01</t>
        </is>
      </c>
      <c r="D161" s="12" t="inlineStr">
        <is>
          <t>View and find information in Guest Directory</t>
        </is>
      </c>
      <c r="E161" s="12" t="inlineStr">
        <is>
          <t>EPIC-06</t>
        </is>
      </c>
      <c r="F161" s="12" t="inlineStr">
        <is>
          <t>Guest CRM</t>
        </is>
      </c>
      <c r="G161" s="12" t="inlineStr">
        <is>
          <t>Guest Directory</t>
        </is>
      </c>
      <c r="H161" s="11" t="inlineStr">
        <is>
          <t>SCR-010</t>
        </is>
      </c>
      <c r="I161" s="12" t="inlineStr">
        <is>
          <t>Guest Directory</t>
        </is>
      </c>
      <c r="J161" s="12" t="inlineStr">
        <is>
          <t>View / Search</t>
        </is>
      </c>
      <c r="K161" s="12" t="inlineStr">
        <is>
          <t>CRM Manager</t>
        </is>
      </c>
      <c r="L161" s="12" t="inlineStr">
        <is>
          <t>As a CRM Manager, I want to open Guest Directory and find relevant records using search, filters and sorting, so that I can make accurate operational decisions.</t>
        </is>
      </c>
      <c r="M161" s="12" t="inlineStr">
        <is>
          <t>Provides timely visibility for guest directory and reduces manual lookup effort.</t>
        </is>
      </c>
      <c r="N161" s="12" t="inlineStr">
        <is>
          <t>Authenticated user; active property; view permission for Guest CRM; Reservations, Communications data available.</t>
        </is>
      </c>
      <c r="O161" s="12" t="inlineStr">
        <is>
          <t>Given I am authenticated as CRM Manager with access to the selected property, when I open Guest Directory,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61" s="12" t="inlineStr">
        <is>
          <t>Cross-property data never appears; unauthorized fields are masked; invalid filters do not break the screen; unavailable services return a controlled message.</t>
        </is>
      </c>
      <c r="Q161" s="12" t="inlineStr">
        <is>
          <t>Tenant/property scope; required fields; optimistic locking; timezone-safe dates; reason mandatory for overrides; duplicate detection; consent and retention policy; sensitive document masking</t>
        </is>
      </c>
      <c r="R161" s="12" t="inlineStr">
        <is>
          <t>Reservations, Communications</t>
        </is>
      </c>
      <c r="S161" s="12" t="inlineStr">
        <is>
          <t>GET, POST, PUT/PATCH, DELETE /api/v1/guest-directory; lookup, validation and audit endpoints; idempotency for financial/booking writes; entities: guests, guest_preferences, consents, documents, loyalty_accounts</t>
        </is>
      </c>
      <c r="T161" s="12" t="inlineStr">
        <is>
          <t>Should Have</t>
        </is>
      </c>
      <c r="U161" s="12" t="inlineStr">
        <is>
          <t>Release 1.1</t>
        </is>
      </c>
      <c r="V161" s="34" t="n">
        <v>3</v>
      </c>
      <c r="W161" s="12" t="inlineStr">
        <is>
          <t>S08-S09</t>
        </is>
      </c>
      <c r="X161" s="12" t="inlineStr">
        <is>
          <t>Done</t>
        </is>
      </c>
      <c r="Y161" s="13" t="n">
        <v>1</v>
      </c>
      <c r="Z161" s="12" t="n"/>
      <c r="AA161" s="12" t="inlineStr">
        <is>
          <t>TC-010-A</t>
        </is>
      </c>
      <c r="AB161" s="12" t="inlineStr">
        <is>
          <t>Approved screen design; story reviewed with CRM Manager; dependencies, API contract, role permissions and test data identified.</t>
        </is>
      </c>
      <c r="AC161" s="12" t="inlineStr">
        <is>
          <t>Code reviewed; unit, API, UI, RBAC and integration tests pass; accessibility and responsive states verified; audit evidence captured; product owner accepts in staging.</t>
        </is>
      </c>
      <c r="AD161" s="12" t="inlineStr">
        <is>
          <t>Guest Directory view/search implemented as the Guests screen (shared with US-065): live searchable directory over engagement.guests. Verified. REBUILT 2026-09-09 to match mockup 010: new GET /guests/directory returns four KPIs (Total / In-house / Returning / New), one page of rows, the country list and the caller's create/export rights in a single call. Search spans name, email, phone and city; filters are Guest Type (in-house/returning/new), Last Stay (30d/90d/365d/never) and Country; five sortable columns (name, last stay, total stays, lifetime value, status) each with both directions; 8 per page with elided pagination. KPIs deliberately describe the whole directory, not the filtered page. Verified in Chrome: search, filter, sort, paging and the counts all agree with direct SQL. NOT BUILT, and said so on screen instead of faked: VIP and Blacklisted (engagement.guests has no such flag and nothing sets one), Preferences (belongs to SCR-067, which has no table), and Source (never recorded).</t>
        </is>
      </c>
    </row>
    <row r="162" ht="78" customHeight="1" s="43">
      <c r="A162" s="11" t="n">
        <v>2</v>
      </c>
      <c r="B162" s="11" t="n">
        <v>158</v>
      </c>
      <c r="C162" s="12" t="inlineStr">
        <is>
          <t>US-010-02</t>
        </is>
      </c>
      <c r="D162" s="12" t="inlineStr">
        <is>
          <t>Complete the primary Guest Directory workflow</t>
        </is>
      </c>
      <c r="E162" s="12" t="inlineStr">
        <is>
          <t>EPIC-06</t>
        </is>
      </c>
      <c r="F162" s="12" t="inlineStr">
        <is>
          <t>Guest CRM</t>
        </is>
      </c>
      <c r="G162" s="12" t="inlineStr">
        <is>
          <t>Guest Directory</t>
        </is>
      </c>
      <c r="H162" s="11" t="inlineStr">
        <is>
          <t>SCR-010</t>
        </is>
      </c>
      <c r="I162" s="12" t="inlineStr">
        <is>
          <t>Guest Directory</t>
        </is>
      </c>
      <c r="J162" s="12" t="inlineStr">
        <is>
          <t>Primary Workflow</t>
        </is>
      </c>
      <c r="K162" s="12" t="inlineStr">
        <is>
          <t>CRM Manager</t>
        </is>
      </c>
      <c r="L162" s="12" t="inlineStr">
        <is>
          <t>As a CRM Manager, I want to list, search, filter, view, create, edit, cancel/delete under policy, export in Guest Directory, so that the guest directory process is completed accurately without duplicate or inconsistent records.</t>
        </is>
      </c>
      <c r="M162" s="12" t="inlineStr">
        <is>
          <t>Enable guest crm users to manage guest directory through the Guest Directory workflow with real-time status, validations and traceability.</t>
        </is>
      </c>
      <c r="N162" s="12" t="inlineStr">
        <is>
          <t>View access confirmed; required masters and linked records exist; Reservations, Communications services are available; approval limit is valid.</t>
        </is>
      </c>
      <c r="O16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directory workflow; invalid or conflicting actions are blocked with clear messages; saved changes appear in related screens; sensitive changes are auditable.</t>
        </is>
      </c>
      <c r="P162" s="12" t="inlineStr">
        <is>
          <t>Duplicate submission is idempotent; stale data returns a refresh/conflict message; invalid status transitions are blocked; partial failure rolls back without orphan records.</t>
        </is>
      </c>
      <c r="Q162" s="12" t="inlineStr">
        <is>
          <t>Tenant/property scope; required fields; optimistic locking; timezone-safe dates; reason mandatory for overrides; duplicate detection; consent and retention policy; sensitive document masking</t>
        </is>
      </c>
      <c r="R162" s="12" t="inlineStr">
        <is>
          <t>Reservations, Communications</t>
        </is>
      </c>
      <c r="S162" s="12" t="inlineStr">
        <is>
          <t>GET, POST, PUT/PATCH, DELETE /api/v1/guest-directory; lookup, validation and audit endpoints; idempotency for financial/booking writes; entities: guests, guest_preferences, consents, documents, loyalty_accounts</t>
        </is>
      </c>
      <c r="T162" s="12" t="inlineStr">
        <is>
          <t>Should Have</t>
        </is>
      </c>
      <c r="U162" s="12" t="inlineStr">
        <is>
          <t>Release 1.1</t>
        </is>
      </c>
      <c r="V162" s="34" t="n">
        <v>5</v>
      </c>
      <c r="W162" s="12" t="inlineStr">
        <is>
          <t>S08-S09</t>
        </is>
      </c>
      <c r="X162" s="12" t="inlineStr">
        <is>
          <t>Done</t>
        </is>
      </c>
      <c r="Y162" s="13" t="n">
        <v>1</v>
      </c>
      <c r="Z162" s="12" t="n"/>
      <c r="AA162" s="12" t="inlineStr">
        <is>
          <t>TC-010-B</t>
        </is>
      </c>
      <c r="AB162" s="12" t="inlineStr">
        <is>
          <t>Approved screen design; story reviewed with CRM Manager; dependencies, API contract, role permissions and test data identified.</t>
        </is>
      </c>
      <c r="AC162" s="12" t="inlineStr">
        <is>
          <t>Code reviewed; unit, API, UI, RBAC and integration tests pass; accessibility and responsive states verified; audit evidence captured; product owner accepts in staging.</t>
        </is>
      </c>
      <c r="AD162" s="12" t="inlineStr">
        <is>
          <t>Guest Directory primary workflow: add/edit guests live. Verified create/edit. REBUILT 2026-09-09: stays, last stay and lifetime value are derived, never stored - total stays and last stay come from booking.reservation_units (checked_in/checked_out only), lifetime value is net billings from finance.folio_entries excluding payment/refund/security_deposit, so the number cannot drift from the ledger. Last stay uses ARRIVAL date, not departure: an in-house guest's departure is still a plan and a last stay in the future reads as a bug. Export writes CSV for the whole filtered set (not just the visible page) and is gated on guests.export; verified the export fetch returns all 25 rows. Add/Edit guest retained and still working.</t>
        </is>
      </c>
    </row>
    <row r="163" ht="78" customHeight="1" s="43">
      <c r="A163" s="11" t="n">
        <v>2</v>
      </c>
      <c r="B163" s="11" t="n">
        <v>159</v>
      </c>
      <c r="C163" s="12" t="inlineStr">
        <is>
          <t>US-010-03</t>
        </is>
      </c>
      <c r="D163" s="12" t="inlineStr">
        <is>
          <t>Control permissions, overrides and audit for Guest Directory</t>
        </is>
      </c>
      <c r="E163" s="12" t="inlineStr">
        <is>
          <t>EPIC-06</t>
        </is>
      </c>
      <c r="F163" s="12" t="inlineStr">
        <is>
          <t>Guest CRM</t>
        </is>
      </c>
      <c r="G163" s="12" t="inlineStr">
        <is>
          <t>Guest Directory</t>
        </is>
      </c>
      <c r="H163" s="11" t="inlineStr">
        <is>
          <t>SCR-010</t>
        </is>
      </c>
      <c r="I163" s="12" t="inlineStr">
        <is>
          <t>Guest Directory</t>
        </is>
      </c>
      <c r="J163" s="12" t="inlineStr">
        <is>
          <t>Security / Exceptions</t>
        </is>
      </c>
      <c r="K163" s="12" t="inlineStr">
        <is>
          <t>CRM Manager</t>
        </is>
      </c>
      <c r="L163" s="12" t="inlineStr">
        <is>
          <t>As a department supervisor or auditor, I want sensitive actions in Guest Directory to follow permissions, approval limits and audit rules, so that resort operations remain secure, compliant and traceable.</t>
        </is>
      </c>
      <c r="M163" s="12" t="inlineStr">
        <is>
          <t>Reduces fraud, privacy leakage, unauthorized overrides and unresolved operational disputes.</t>
        </is>
      </c>
      <c r="N163" s="12" t="inlineStr">
        <is>
          <t>Roles, permissions, approval hierarchy and audit service are configured; allowed and denied test users exist.</t>
        </is>
      </c>
      <c r="O16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63" s="12" t="inlineStr">
        <is>
          <t>Tampered IDs, expired sessions, approval-limit violations and cross-tenant requests are rejected; secrets and sensitive guest/payment fields are never written to logs.</t>
        </is>
      </c>
      <c r="Q163" s="12" t="inlineStr">
        <is>
          <t>Tenant/property scope; required fields; optimistic locking; timezone-safe dates; reason mandatory for overrides; duplicate detection; consent and retention policy; sensitive document masking</t>
        </is>
      </c>
      <c r="R163" s="12" t="inlineStr">
        <is>
          <t>Reservations, Communications</t>
        </is>
      </c>
      <c r="S163" s="12" t="inlineStr">
        <is>
          <t>GET, POST, PUT/PATCH, DELETE /api/v1/guest-directory; lookup, validation and audit endpoints; idempotency for financial/booking writes; entities: guests, guest_preferences, consents, documents, loyalty_accounts</t>
        </is>
      </c>
      <c r="T163" s="12" t="inlineStr">
        <is>
          <t>Should Have</t>
        </is>
      </c>
      <c r="U163" s="12" t="inlineStr">
        <is>
          <t>Release 1.1</t>
        </is>
      </c>
      <c r="V163" s="34" t="n">
        <v>3</v>
      </c>
      <c r="W163" s="12" t="inlineStr">
        <is>
          <t>S08-S09</t>
        </is>
      </c>
      <c r="X163" s="12" t="inlineStr">
        <is>
          <t>Done</t>
        </is>
      </c>
      <c r="Y163" s="13" t="n">
        <v>1</v>
      </c>
      <c r="Z163" s="12" t="n"/>
      <c r="AA163" s="12" t="inlineStr">
        <is>
          <t>TC-010-C</t>
        </is>
      </c>
      <c r="AB163" s="12" t="inlineStr">
        <is>
          <t>Approved screen design; story reviewed with CRM Manager; dependencies, API contract, role permissions and test data identified.</t>
        </is>
      </c>
      <c r="AC163" s="12" t="inlineStr">
        <is>
          <t>Code reviewed; unit, API, UI, RBAC and integration tests pass; accessibility and responsive states verified; audit evidence captured; product owner accepts in staging.</t>
        </is>
      </c>
      <c r="AD163" s="12" t="inlineStr">
        <is>
          <t>Security/exceptions. These routes were written before chirala_common existed and had NO permission check and NO audit: anyone who could reach the gateway could list every guest, read every folio and post a payment. All 28 endpoints across booking-core routes.py and finance routes.py now carry build_authz guards (require_permission where a property_id is in scope, require_org_permission otherwise). PREREQUISITE FOUND AND FIXED: the guests resource was granted to zero roles and reservations/dashboard to one or two, so guarding first would have locked every role out of the product; iam 0009_core_grants grants them (this is the third such migration after payments in 0007 and front_desk in 0008). SECOND PREREQUISITE: the gateway's /flows/* endpoints called booking-core and finance ANONYMOUSLY, so the aggregation was itself the hole that kept those routes open - the flow client now forwards the caller's token, and each service applies its own checks to the real user. ALSO FIXED a latent bug in the shared authz library: _GRANT_SQL used a bare :prop in both `IS NULL` and a comparison, which Postgres cannot type when an org-scoped check passes NULL - every require_org_permission call was a 500 waiting to happen. Verified: anonymous GET/POST on reservations, guests, folios, payments and /flows/dashboard all return 401; the same calls with a valid token return 200; Dashboard, Guests and Reservations still load in Chrome. 2026-09-09: the directory endpoint is org-scoped through require_org_permission('guests','view'); the Add Guest and Export controls are rendered from server-evaluated guests.create / guests.export grants rather than assumed, so a user without them never sees a control that would 403.</t>
        </is>
      </c>
    </row>
    <row r="164" ht="78" customHeight="1" s="43">
      <c r="A164" s="11" t="n">
        <v>2</v>
      </c>
      <c r="B164" s="11" t="n">
        <v>160</v>
      </c>
      <c r="C164" s="12" t="inlineStr">
        <is>
          <t>US-025-01</t>
        </is>
      </c>
      <c r="D164" s="12" t="inlineStr">
        <is>
          <t>View and find information in Guest CRM Dashboard</t>
        </is>
      </c>
      <c r="E164" s="12" t="inlineStr">
        <is>
          <t>EPIC-06</t>
        </is>
      </c>
      <c r="F164" s="12" t="inlineStr">
        <is>
          <t>Guest CRM</t>
        </is>
      </c>
      <c r="G164" s="12" t="inlineStr">
        <is>
          <t>CRM Dashboard</t>
        </is>
      </c>
      <c r="H164" s="11" t="inlineStr">
        <is>
          <t>SCR-025</t>
        </is>
      </c>
      <c r="I164" s="12" t="inlineStr">
        <is>
          <t>Guest CRM Dashboard</t>
        </is>
      </c>
      <c r="J164" s="12" t="inlineStr">
        <is>
          <t>View / Search</t>
        </is>
      </c>
      <c r="K164" s="12" t="inlineStr">
        <is>
          <t>CRM Manager</t>
        </is>
      </c>
      <c r="L164" s="12" t="inlineStr">
        <is>
          <t>As a CRM Manager, I want to open Guest CRM Dashboard and find relevant records using search, filters and sorting, so that I can make accurate operational decisions.</t>
        </is>
      </c>
      <c r="M164" s="12" t="inlineStr">
        <is>
          <t>Provides timely visibility for crm dashboard and reduces manual lookup effort.</t>
        </is>
      </c>
      <c r="N164" s="12" t="inlineStr">
        <is>
          <t>Authenticated user; active property; view permission for Guest CRM; Reservations, Communications data available.</t>
        </is>
      </c>
      <c r="O164" s="12" t="inlineStr">
        <is>
          <t>Given I am authenticated as CRM Manager with access to the selected property, when I open Guest CRM Dashboard,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64" s="12" t="inlineStr">
        <is>
          <t>Cross-property data never appears; unauthorized fields are masked; invalid filters do not break the screen; unavailable services return a controlled message.</t>
        </is>
      </c>
      <c r="Q164" s="12" t="inlineStr">
        <is>
          <t>Tenant/property scope; required fields; optimistic locking; timezone-safe dates; reason mandatory for overrides; duplicate detection; consent and retention policy; sensitive document masking</t>
        </is>
      </c>
      <c r="R164" s="12" t="inlineStr">
        <is>
          <t>Reservations, Communications</t>
        </is>
      </c>
      <c r="S164" s="12" t="inlineStr">
        <is>
          <t>GET, POST/PATCH /api/v1/guest-crm-dashboard; lookup, validation and audit endpoints; idempotency for financial/booking writes; entities: guests, guest_preferences, consents, documents, loyalty_accounts</t>
        </is>
      </c>
      <c r="T164" s="12" t="inlineStr">
        <is>
          <t>Should Have</t>
        </is>
      </c>
      <c r="U164" s="12" t="inlineStr">
        <is>
          <t>Release 1.1</t>
        </is>
      </c>
      <c r="V164" s="34" t="n">
        <v>3</v>
      </c>
      <c r="W164" s="12" t="inlineStr">
        <is>
          <t>S08-S09</t>
        </is>
      </c>
      <c r="X164" s="12" t="inlineStr">
        <is>
          <t>Backlog</t>
        </is>
      </c>
      <c r="Y164" s="13">
        <f>IF(X164="Done",1,IF(X164="QA",0.9,IF(X164="Code Review",0.75,IF(X164="In Development",0.5,IF(X164="Ready",0.1,0)))))</f>
        <v/>
      </c>
      <c r="Z164" s="12" t="n"/>
      <c r="AA164" s="12" t="inlineStr">
        <is>
          <t>TC-025-A</t>
        </is>
      </c>
      <c r="AB164" s="12" t="inlineStr">
        <is>
          <t>Approved screen design; story reviewed with CRM Manager; dependencies, API contract, role permissions and test data identified.</t>
        </is>
      </c>
      <c r="AC164" s="12" t="inlineStr">
        <is>
          <t>Code reviewed; unit, API, UI, RBAC and integration tests pass; accessibility and responsive states verified; audit evidence captured; product owner accepts in staging.</t>
        </is>
      </c>
      <c r="AD164" s="12" t="n"/>
    </row>
    <row r="165" ht="78" customHeight="1" s="43">
      <c r="A165" s="11" t="n">
        <v>2</v>
      </c>
      <c r="B165" s="11" t="n">
        <v>161</v>
      </c>
      <c r="C165" s="12" t="inlineStr">
        <is>
          <t>US-025-02</t>
        </is>
      </c>
      <c r="D165" s="12" t="inlineStr">
        <is>
          <t>Complete the primary Guest CRM Dashboard workflow</t>
        </is>
      </c>
      <c r="E165" s="12" t="inlineStr">
        <is>
          <t>EPIC-06</t>
        </is>
      </c>
      <c r="F165" s="12" t="inlineStr">
        <is>
          <t>Guest CRM</t>
        </is>
      </c>
      <c r="G165" s="12" t="inlineStr">
        <is>
          <t>CRM Dashboard</t>
        </is>
      </c>
      <c r="H165" s="11" t="inlineStr">
        <is>
          <t>SCR-025</t>
        </is>
      </c>
      <c r="I165" s="12" t="inlineStr">
        <is>
          <t>Guest CRM Dashboard</t>
        </is>
      </c>
      <c r="J165" s="12" t="inlineStr">
        <is>
          <t>Primary Workflow</t>
        </is>
      </c>
      <c r="K165" s="12" t="inlineStr">
        <is>
          <t>CRM Manager</t>
        </is>
      </c>
      <c r="L165" s="12" t="inlineStr">
        <is>
          <t>As a CRM Manager, I want to view, filter, search, drill down, export, refresh in Guest CRM Dashboard, so that the crm dashboard process is completed accurately without duplicate or inconsistent records.</t>
        </is>
      </c>
      <c r="M165" s="12" t="inlineStr">
        <is>
          <t>Enable guest crm users to manage crm dashboard through the Guest CRM Dashboard workflow with real-time status, validations and traceability.</t>
        </is>
      </c>
      <c r="N165" s="12" t="inlineStr">
        <is>
          <t>View access confirmed; required masters and linked records exist; Reservations, Communications services are available; approval limit is valid.</t>
        </is>
      </c>
      <c r="O16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crm dashboard workflow; invalid or conflicting actions are blocked with clear messages; saved changes appear in related screens; sensitive changes are auditable.</t>
        </is>
      </c>
      <c r="P165" s="12" t="inlineStr">
        <is>
          <t>Duplicate submission is idempotent; stale data returns a refresh/conflict message; invalid status transitions are blocked; partial failure rolls back without orphan records.</t>
        </is>
      </c>
      <c r="Q165" s="12" t="inlineStr">
        <is>
          <t>Tenant/property scope; required fields; optimistic locking; timezone-safe dates; reason mandatory for overrides; duplicate detection; consent and retention policy; sensitive document masking</t>
        </is>
      </c>
      <c r="R165" s="12" t="inlineStr">
        <is>
          <t>Reservations, Communications</t>
        </is>
      </c>
      <c r="S165" s="12" t="inlineStr">
        <is>
          <t>GET, POST/PATCH /api/v1/guest-crm-dashboard; lookup, validation and audit endpoints; idempotency for financial/booking writes; entities: guests, guest_preferences, consents, documents, loyalty_accounts</t>
        </is>
      </c>
      <c r="T165" s="12" t="inlineStr">
        <is>
          <t>Should Have</t>
        </is>
      </c>
      <c r="U165" s="12" t="inlineStr">
        <is>
          <t>Release 1.1</t>
        </is>
      </c>
      <c r="V165" s="34" t="n">
        <v>5</v>
      </c>
      <c r="W165" s="12" t="inlineStr">
        <is>
          <t>S08-S09</t>
        </is>
      </c>
      <c r="X165" s="12" t="inlineStr">
        <is>
          <t>Backlog</t>
        </is>
      </c>
      <c r="Y165" s="13">
        <f>IF(X165="Done",1,IF(X165="QA",0.9,IF(X165="Code Review",0.75,IF(X165="In Development",0.5,IF(X165="Ready",0.1,0)))))</f>
        <v/>
      </c>
      <c r="Z165" s="12" t="n"/>
      <c r="AA165" s="12" t="inlineStr">
        <is>
          <t>TC-025-B</t>
        </is>
      </c>
      <c r="AB165" s="12" t="inlineStr">
        <is>
          <t>Approved screen design; story reviewed with CRM Manager; dependencies, API contract, role permissions and test data identified.</t>
        </is>
      </c>
      <c r="AC165" s="12" t="inlineStr">
        <is>
          <t>Code reviewed; unit, API, UI, RBAC and integration tests pass; accessibility and responsive states verified; audit evidence captured; product owner accepts in staging.</t>
        </is>
      </c>
      <c r="AD165" s="12" t="n"/>
    </row>
    <row r="166" ht="78" customHeight="1" s="43">
      <c r="A166" s="11" t="n">
        <v>2</v>
      </c>
      <c r="B166" s="11" t="n">
        <v>162</v>
      </c>
      <c r="C166" s="12" t="inlineStr">
        <is>
          <t>US-025-03</t>
        </is>
      </c>
      <c r="D166" s="12" t="inlineStr">
        <is>
          <t>Control permissions, overrides and audit for Guest CRM Dashboard</t>
        </is>
      </c>
      <c r="E166" s="12" t="inlineStr">
        <is>
          <t>EPIC-06</t>
        </is>
      </c>
      <c r="F166" s="12" t="inlineStr">
        <is>
          <t>Guest CRM</t>
        </is>
      </c>
      <c r="G166" s="12" t="inlineStr">
        <is>
          <t>CRM Dashboard</t>
        </is>
      </c>
      <c r="H166" s="11" t="inlineStr">
        <is>
          <t>SCR-025</t>
        </is>
      </c>
      <c r="I166" s="12" t="inlineStr">
        <is>
          <t>Guest CRM Dashboard</t>
        </is>
      </c>
      <c r="J166" s="12" t="inlineStr">
        <is>
          <t>Security / Exceptions</t>
        </is>
      </c>
      <c r="K166" s="12" t="inlineStr">
        <is>
          <t>CRM Manager</t>
        </is>
      </c>
      <c r="L166" s="12" t="inlineStr">
        <is>
          <t>As a department supervisor or auditor, I want sensitive actions in Guest CRM Dashboard to follow permissions, approval limits and audit rules, so that resort operations remain secure, compliant and traceable.</t>
        </is>
      </c>
      <c r="M166" s="12" t="inlineStr">
        <is>
          <t>Reduces fraud, privacy leakage, unauthorized overrides and unresolved operational disputes.</t>
        </is>
      </c>
      <c r="N166" s="12" t="inlineStr">
        <is>
          <t>Roles, permissions, approval hierarchy and audit service are configured; allowed and denied test users exist.</t>
        </is>
      </c>
      <c r="O16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66" s="12" t="inlineStr">
        <is>
          <t>Tampered IDs, expired sessions, approval-limit violations and cross-tenant requests are rejected; secrets and sensitive guest/payment fields are never written to logs.</t>
        </is>
      </c>
      <c r="Q166" s="12" t="inlineStr">
        <is>
          <t>Tenant/property scope; required fields; optimistic locking; timezone-safe dates; reason mandatory for overrides; duplicate detection; consent and retention policy; sensitive document masking</t>
        </is>
      </c>
      <c r="R166" s="12" t="inlineStr">
        <is>
          <t>Reservations, Communications</t>
        </is>
      </c>
      <c r="S166" s="12" t="inlineStr">
        <is>
          <t>GET, POST/PATCH /api/v1/guest-crm-dashboard; lookup, validation and audit endpoints; idempotency for financial/booking writes; entities: guests, guest_preferences, consents, documents, loyalty_accounts</t>
        </is>
      </c>
      <c r="T166" s="12" t="inlineStr">
        <is>
          <t>Should Have</t>
        </is>
      </c>
      <c r="U166" s="12" t="inlineStr">
        <is>
          <t>Release 1.1</t>
        </is>
      </c>
      <c r="V166" s="34" t="n">
        <v>3</v>
      </c>
      <c r="W166" s="12" t="inlineStr">
        <is>
          <t>S08-S09</t>
        </is>
      </c>
      <c r="X166" s="12" t="inlineStr">
        <is>
          <t>Backlog</t>
        </is>
      </c>
      <c r="Y166" s="13">
        <f>IF(X166="Done",1,IF(X166="QA",0.9,IF(X166="Code Review",0.75,IF(X166="In Development",0.5,IF(X166="Ready",0.1,0)))))</f>
        <v/>
      </c>
      <c r="Z166" s="12" t="n"/>
      <c r="AA166" s="12" t="inlineStr">
        <is>
          <t>TC-025-C</t>
        </is>
      </c>
      <c r="AB166" s="12" t="inlineStr">
        <is>
          <t>Approved screen design; story reviewed with CRM Manager; dependencies, API contract, role permissions and test data identified.</t>
        </is>
      </c>
      <c r="AC166" s="12" t="inlineStr">
        <is>
          <t>Code reviewed; unit, API, UI, RBAC and integration tests pass; accessibility and responsive states verified; audit evidence captured; product owner accepts in staging.</t>
        </is>
      </c>
      <c r="AD166" s="12" t="n"/>
    </row>
    <row r="167" ht="78" customHeight="1" s="43">
      <c r="A167" s="11" t="n">
        <v>2</v>
      </c>
      <c r="B167" s="11" t="n">
        <v>163</v>
      </c>
      <c r="C167" s="12" t="inlineStr">
        <is>
          <t>US-047-01</t>
        </is>
      </c>
      <c r="D167" s="12" t="inlineStr">
        <is>
          <t>View and find information in Guest Conversation Inbox</t>
        </is>
      </c>
      <c r="E167" s="12" t="inlineStr">
        <is>
          <t>EPIC-24</t>
        </is>
      </c>
      <c r="F167" s="12" t="inlineStr">
        <is>
          <t>Communications</t>
        </is>
      </c>
      <c r="G167" s="12" t="inlineStr">
        <is>
          <t>Omnichannel Inbox</t>
        </is>
      </c>
      <c r="H167" s="11" t="inlineStr">
        <is>
          <t>SCR-047</t>
        </is>
      </c>
      <c r="I167" s="12" t="inlineStr">
        <is>
          <t>Guest Conversation Inbox</t>
        </is>
      </c>
      <c r="J167" s="12" t="inlineStr">
        <is>
          <t>View / Search</t>
        </is>
      </c>
      <c r="K167" s="12" t="inlineStr">
        <is>
          <t>Guest Relations</t>
        </is>
      </c>
      <c r="L167" s="12" t="inlineStr">
        <is>
          <t>As a Guest Relations, I want to open Guest Conversation Inbox and find relevant records using search, filters and sorting, so that I can make accurate operational decisions.</t>
        </is>
      </c>
      <c r="M167" s="12" t="inlineStr">
        <is>
          <t>Provides timely visibility for omnichannel inbox and reduces manual lookup effort.</t>
        </is>
      </c>
      <c r="N167" s="12" t="inlineStr">
        <is>
          <t>Authenticated user; active property; view permission for Communications; Guests, Reservations, Integrations data available.</t>
        </is>
      </c>
      <c r="O167" s="12" t="inlineStr">
        <is>
          <t>Given I am authenticated as Guest Relations with access to the selected property, when I open Guest Conversation Inbox,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67" s="12" t="inlineStr">
        <is>
          <t>Cross-property data never appears; unauthorized fields are masked; invalid filters do not break the screen; unavailable services return a controlled message.</t>
        </is>
      </c>
      <c r="Q167" s="12" t="inlineStr">
        <is>
          <t>Tenant/property scope; required fields; optimistic locking; timezone-safe dates; reason mandatory for overrides; valid status transition; linked-record integrity</t>
        </is>
      </c>
      <c r="R167" s="12" t="inlineStr">
        <is>
          <t>Guests, Reservations, Integrations</t>
        </is>
      </c>
      <c r="S167" s="12" t="inlineStr">
        <is>
          <t>GET, POST, PUT/PATCH, DELETE /api/v1/guest-conversation-inbox; lookup, validation and audit endpoints; idempotency for financial/booking writes; entities: conversations, messages, templates, delivery_logs</t>
        </is>
      </c>
      <c r="T167" s="12" t="inlineStr">
        <is>
          <t>Should Have</t>
        </is>
      </c>
      <c r="U167" s="12" t="inlineStr">
        <is>
          <t>Release 1.1</t>
        </is>
      </c>
      <c r="V167" s="34" t="n">
        <v>3</v>
      </c>
      <c r="W167" s="12" t="inlineStr">
        <is>
          <t>S08-S09</t>
        </is>
      </c>
      <c r="X167" s="12" t="inlineStr">
        <is>
          <t>Backlog</t>
        </is>
      </c>
      <c r="Y167" s="13">
        <f>IF(X167="Done",1,IF(X167="QA",0.9,IF(X167="Code Review",0.75,IF(X167="In Development",0.5,IF(X167="Ready",0.1,0)))))</f>
        <v/>
      </c>
      <c r="Z167" s="12" t="n"/>
      <c r="AA167" s="12" t="inlineStr">
        <is>
          <t>TC-047-A</t>
        </is>
      </c>
      <c r="AB167" s="12" t="inlineStr">
        <is>
          <t>Approved screen design; story reviewed with Guest Relations; dependencies, API contract, role permissions and test data identified.</t>
        </is>
      </c>
      <c r="AC167" s="12" t="inlineStr">
        <is>
          <t>Code reviewed; unit, API, UI, RBAC and integration tests pass; accessibility and responsive states verified; audit evidence captured; product owner accepts in staging.</t>
        </is>
      </c>
      <c r="AD167" s="12" t="n"/>
    </row>
    <row r="168" ht="78" customHeight="1" s="43">
      <c r="A168" s="11" t="n">
        <v>2</v>
      </c>
      <c r="B168" s="11" t="n">
        <v>164</v>
      </c>
      <c r="C168" s="12" t="inlineStr">
        <is>
          <t>US-047-02</t>
        </is>
      </c>
      <c r="D168" s="12" t="inlineStr">
        <is>
          <t>Complete the primary Guest Conversation Inbox workflow</t>
        </is>
      </c>
      <c r="E168" s="12" t="inlineStr">
        <is>
          <t>EPIC-24</t>
        </is>
      </c>
      <c r="F168" s="12" t="inlineStr">
        <is>
          <t>Communications</t>
        </is>
      </c>
      <c r="G168" s="12" t="inlineStr">
        <is>
          <t>Omnichannel Inbox</t>
        </is>
      </c>
      <c r="H168" s="11" t="inlineStr">
        <is>
          <t>SCR-047</t>
        </is>
      </c>
      <c r="I168" s="12" t="inlineStr">
        <is>
          <t>Guest Conversation Inbox</t>
        </is>
      </c>
      <c r="J168" s="12" t="inlineStr">
        <is>
          <t>Primary Workflow</t>
        </is>
      </c>
      <c r="K168" s="12" t="inlineStr">
        <is>
          <t>Guest Relations</t>
        </is>
      </c>
      <c r="L168" s="12" t="inlineStr">
        <is>
          <t>As a Guest Relations, I want to list, search, filter, view, create, edit, cancel/delete under policy, export in Guest Conversation Inbox, so that the omnichannel inbox process is completed accurately without duplicate or inconsistent records.</t>
        </is>
      </c>
      <c r="M168" s="12" t="inlineStr">
        <is>
          <t>Enable communications users to manage omnichannel inbox through the Guest Conversation Inbox workflow with real-time status, validations and traceability.</t>
        </is>
      </c>
      <c r="N168" s="12" t="inlineStr">
        <is>
          <t>View access confirmed; required masters and linked records exist; Guests, Reservations, Integrations services are available; approval limit is valid.</t>
        </is>
      </c>
      <c r="O16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conversation inbox workflow; invalid or conflicting actions are blocked with clear messages; saved changes appear in related screens; sensitive changes are auditable.</t>
        </is>
      </c>
      <c r="P168" s="12" t="inlineStr">
        <is>
          <t>Duplicate submission is idempotent; stale data returns a refresh/conflict message; invalid status transitions are blocked; partial failure rolls back without orphan records.</t>
        </is>
      </c>
      <c r="Q168" s="12" t="inlineStr">
        <is>
          <t>Tenant/property scope; required fields; optimistic locking; timezone-safe dates; reason mandatory for overrides; valid status transition; linked-record integrity</t>
        </is>
      </c>
      <c r="R168" s="12" t="inlineStr">
        <is>
          <t>Guests, Reservations, Integrations</t>
        </is>
      </c>
      <c r="S168" s="12" t="inlineStr">
        <is>
          <t>GET, POST, PUT/PATCH, DELETE /api/v1/guest-conversation-inbox; lookup, validation and audit endpoints; idempotency for financial/booking writes; entities: conversations, messages, templates, delivery_logs</t>
        </is>
      </c>
      <c r="T168" s="12" t="inlineStr">
        <is>
          <t>Should Have</t>
        </is>
      </c>
      <c r="U168" s="12" t="inlineStr">
        <is>
          <t>Release 1.1</t>
        </is>
      </c>
      <c r="V168" s="34" t="n">
        <v>5</v>
      </c>
      <c r="W168" s="12" t="inlineStr">
        <is>
          <t>S08-S09</t>
        </is>
      </c>
      <c r="X168" s="12" t="inlineStr">
        <is>
          <t>Backlog</t>
        </is>
      </c>
      <c r="Y168" s="13">
        <f>IF(X168="Done",1,IF(X168="QA",0.9,IF(X168="Code Review",0.75,IF(X168="In Development",0.5,IF(X168="Ready",0.1,0)))))</f>
        <v/>
      </c>
      <c r="Z168" s="12" t="n"/>
      <c r="AA168" s="12" t="inlineStr">
        <is>
          <t>TC-047-B</t>
        </is>
      </c>
      <c r="AB168" s="12" t="inlineStr">
        <is>
          <t>Approved screen design; story reviewed with Guest Relations; dependencies, API contract, role permissions and test data identified.</t>
        </is>
      </c>
      <c r="AC168" s="12" t="inlineStr">
        <is>
          <t>Code reviewed; unit, API, UI, RBAC and integration tests pass; accessibility and responsive states verified; audit evidence captured; product owner accepts in staging.</t>
        </is>
      </c>
      <c r="AD168" s="12" t="n"/>
    </row>
    <row r="169" ht="78" customHeight="1" s="43">
      <c r="A169" s="11" t="n">
        <v>2</v>
      </c>
      <c r="B169" s="11" t="n">
        <v>165</v>
      </c>
      <c r="C169" s="12" t="inlineStr">
        <is>
          <t>US-047-03</t>
        </is>
      </c>
      <c r="D169" s="12" t="inlineStr">
        <is>
          <t>Control permissions, overrides and audit for Guest Conversation Inbox</t>
        </is>
      </c>
      <c r="E169" s="12" t="inlineStr">
        <is>
          <t>EPIC-24</t>
        </is>
      </c>
      <c r="F169" s="12" t="inlineStr">
        <is>
          <t>Communications</t>
        </is>
      </c>
      <c r="G169" s="12" t="inlineStr">
        <is>
          <t>Omnichannel Inbox</t>
        </is>
      </c>
      <c r="H169" s="11" t="inlineStr">
        <is>
          <t>SCR-047</t>
        </is>
      </c>
      <c r="I169" s="12" t="inlineStr">
        <is>
          <t>Guest Conversation Inbox</t>
        </is>
      </c>
      <c r="J169" s="12" t="inlineStr">
        <is>
          <t>Security / Exceptions</t>
        </is>
      </c>
      <c r="K169" s="12" t="inlineStr">
        <is>
          <t>Guest Relations</t>
        </is>
      </c>
      <c r="L169" s="12" t="inlineStr">
        <is>
          <t>As a department supervisor or auditor, I want sensitive actions in Guest Conversation Inbox to follow permissions, approval limits and audit rules, so that resort operations remain secure, compliant and traceable.</t>
        </is>
      </c>
      <c r="M169" s="12" t="inlineStr">
        <is>
          <t>Reduces fraud, privacy leakage, unauthorized overrides and unresolved operational disputes.</t>
        </is>
      </c>
      <c r="N169" s="12" t="inlineStr">
        <is>
          <t>Roles, permissions, approval hierarchy and audit service are configured; allowed and denied test users exist.</t>
        </is>
      </c>
      <c r="O16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69" s="12" t="inlineStr">
        <is>
          <t>Tampered IDs, expired sessions, approval-limit violations and cross-tenant requests are rejected; secrets and sensitive guest/payment fields are never written to logs.</t>
        </is>
      </c>
      <c r="Q169" s="12" t="inlineStr">
        <is>
          <t>Tenant/property scope; required fields; optimistic locking; timezone-safe dates; reason mandatory for overrides; valid status transition; linked-record integrity</t>
        </is>
      </c>
      <c r="R169" s="12" t="inlineStr">
        <is>
          <t>Guests, Reservations, Integrations</t>
        </is>
      </c>
      <c r="S169" s="12" t="inlineStr">
        <is>
          <t>GET, POST, PUT/PATCH, DELETE /api/v1/guest-conversation-inbox; lookup, validation and audit endpoints; idempotency for financial/booking writes; entities: conversations, messages, templates, delivery_logs</t>
        </is>
      </c>
      <c r="T169" s="12" t="inlineStr">
        <is>
          <t>Should Have</t>
        </is>
      </c>
      <c r="U169" s="12" t="inlineStr">
        <is>
          <t>Release 1.1</t>
        </is>
      </c>
      <c r="V169" s="34" t="n">
        <v>3</v>
      </c>
      <c r="W169" s="12" t="inlineStr">
        <is>
          <t>S08-S09</t>
        </is>
      </c>
      <c r="X169" s="12" t="inlineStr">
        <is>
          <t>Backlog</t>
        </is>
      </c>
      <c r="Y169" s="13">
        <f>IF(X169="Done",1,IF(X169="QA",0.9,IF(X169="Code Review",0.75,IF(X169="In Development",0.5,IF(X169="Ready",0.1,0)))))</f>
        <v/>
      </c>
      <c r="Z169" s="12" t="n"/>
      <c r="AA169" s="12" t="inlineStr">
        <is>
          <t>TC-047-C</t>
        </is>
      </c>
      <c r="AB169" s="12" t="inlineStr">
        <is>
          <t>Approved screen design; story reviewed with Guest Relations; dependencies, API contract, role permissions and test data identified.</t>
        </is>
      </c>
      <c r="AC169" s="12" t="inlineStr">
        <is>
          <t>Code reviewed; unit, API, UI, RBAC and integration tests pass; accessibility and responsive states verified; audit evidence captured; product owner accepts in staging.</t>
        </is>
      </c>
      <c r="AD169" s="12" t="n"/>
    </row>
    <row r="170" ht="78" customHeight="1" s="43">
      <c r="A170" s="11" t="n">
        <v>2</v>
      </c>
      <c r="B170" s="11" t="n">
        <v>166</v>
      </c>
      <c r="C170" s="12" t="inlineStr">
        <is>
          <t>US-065-01</t>
        </is>
      </c>
      <c r="D170" s="12" t="inlineStr">
        <is>
          <t>View and find information in Create or Edit Guest</t>
        </is>
      </c>
      <c r="E170" s="12" t="inlineStr">
        <is>
          <t>EPIC-06</t>
        </is>
      </c>
      <c r="F170" s="12" t="inlineStr">
        <is>
          <t>Guest CRM</t>
        </is>
      </c>
      <c r="G170" s="12" t="inlineStr">
        <is>
          <t>Guest Master</t>
        </is>
      </c>
      <c r="H170" s="11" t="inlineStr">
        <is>
          <t>SCR-065</t>
        </is>
      </c>
      <c r="I170" s="12" t="inlineStr">
        <is>
          <t>Create or Edit Guest</t>
        </is>
      </c>
      <c r="J170" s="12" t="inlineStr">
        <is>
          <t>View / Search</t>
        </is>
      </c>
      <c r="K170" s="12" t="inlineStr">
        <is>
          <t>CRM Manager</t>
        </is>
      </c>
      <c r="L170" s="12" t="inlineStr">
        <is>
          <t>As a CRM Manager, I want to open Create or Edit Guest and find relevant records using search, filters and sorting, so that I can make accurate operational decisions.</t>
        </is>
      </c>
      <c r="M170" s="12" t="inlineStr">
        <is>
          <t>Provides timely visibility for guest master and reduces manual lookup effort.</t>
        </is>
      </c>
      <c r="N170" s="12" t="inlineStr">
        <is>
          <t>Authenticated user; active property; view permission for Guest CRM; Reservations, Communications data available.</t>
        </is>
      </c>
      <c r="O170" s="12" t="inlineStr">
        <is>
          <t>Given I am authenticated as CRM Manager with access to the selected property, when I open Create or Edit Guest,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70" s="12" t="inlineStr">
        <is>
          <t>Cross-property data never appears; unauthorized fields are masked; invalid filters do not break the screen; unavailable services return a controlled message.</t>
        </is>
      </c>
      <c r="Q170" s="12" t="inlineStr">
        <is>
          <t>Tenant/property scope; required fields; optimistic locking; timezone-safe dates; reason mandatory for overrides; duplicate detection; consent and retention policy; sensitive document masking</t>
        </is>
      </c>
      <c r="R170" s="12" t="inlineStr">
        <is>
          <t>Reservations, Communications</t>
        </is>
      </c>
      <c r="S170" s="12" t="inlineStr">
        <is>
          <t>GET, POST, PUT/PATCH, DELETE /api/v1/create-or-edit-guest; lookup, validation and audit endpoints; idempotency for financial/booking writes; entities: guests, guest_preferences, consents, documents, loyalty_accounts</t>
        </is>
      </c>
      <c r="T170" s="12" t="inlineStr">
        <is>
          <t>Should Have</t>
        </is>
      </c>
      <c r="U170" s="12" t="inlineStr">
        <is>
          <t>Release 1.1</t>
        </is>
      </c>
      <c r="V170" s="34" t="n">
        <v>3</v>
      </c>
      <c r="W170" s="12" t="inlineStr">
        <is>
          <t>S08-S09</t>
        </is>
      </c>
      <c r="X170" s="12" t="inlineStr">
        <is>
          <t>Done</t>
        </is>
      </c>
      <c r="Y170" s="13" t="n">
        <v>1</v>
      </c>
      <c r="Z170" s="12" t="n"/>
      <c r="AA170" s="12" t="inlineStr">
        <is>
          <t>TC-065-A</t>
        </is>
      </c>
      <c r="AB170" s="12" t="inlineStr">
        <is>
          <t>Approved screen design; story reviewed with CRM Manager; dependencies, API contract, role permissions and test data identified.</t>
        </is>
      </c>
      <c r="AC170" s="12" t="inlineStr">
        <is>
          <t>Code reviewed; unit, API, UI, RBAC and integration tests pass; accessibility and responsive states verified; audit evidence captured; product owner accepts in staging.</t>
        </is>
      </c>
      <c r="AD170" s="12" t="inlineStr">
        <is>
          <t>Guest directory (mockup 010) view/search: GET /booking/guests org-scoped list + name/phone/email search; searchable table with avatar/name/email/phone/nationality. Verified 7 real guests + search.</t>
        </is>
      </c>
    </row>
    <row r="171" ht="78" customHeight="1" s="43">
      <c r="A171" s="11" t="n">
        <v>2</v>
      </c>
      <c r="B171" s="11" t="n">
        <v>167</v>
      </c>
      <c r="C171" s="12" t="inlineStr">
        <is>
          <t>US-065-02</t>
        </is>
      </c>
      <c r="D171" s="12" t="inlineStr">
        <is>
          <t>Complete the primary Create or Edit Guest workflow</t>
        </is>
      </c>
      <c r="E171" s="12" t="inlineStr">
        <is>
          <t>EPIC-06</t>
        </is>
      </c>
      <c r="F171" s="12" t="inlineStr">
        <is>
          <t>Guest CRM</t>
        </is>
      </c>
      <c r="G171" s="12" t="inlineStr">
        <is>
          <t>Guest Master</t>
        </is>
      </c>
      <c r="H171" s="11" t="inlineStr">
        <is>
          <t>SCR-065</t>
        </is>
      </c>
      <c r="I171" s="12" t="inlineStr">
        <is>
          <t>Create or Edit Guest</t>
        </is>
      </c>
      <c r="J171" s="12" t="inlineStr">
        <is>
          <t>Primary Workflow</t>
        </is>
      </c>
      <c r="K171" s="12" t="inlineStr">
        <is>
          <t>CRM Manager</t>
        </is>
      </c>
      <c r="L171" s="12" t="inlineStr">
        <is>
          <t>As a CRM Manager, I want to list, view, create, edit, activate/deactivate, delete where safe in Create or Edit Guest, so that the guest master process is completed accurately without duplicate or inconsistent records.</t>
        </is>
      </c>
      <c r="M171" s="12" t="inlineStr">
        <is>
          <t>Enable guest crm users to manage guest master through the Create or Edit Guest workflow with real-time status, validations and traceability.</t>
        </is>
      </c>
      <c r="N171" s="12" t="inlineStr">
        <is>
          <t>View access confirmed; required masters and linked records exist; Reservations, Communications services are available; approval limit is valid.</t>
        </is>
      </c>
      <c r="O17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or edit guest workflow; invalid or conflicting actions are blocked with clear messages; saved changes appear in related screens; sensitive changes are auditable.</t>
        </is>
      </c>
      <c r="P171" s="12" t="inlineStr">
        <is>
          <t>Duplicate submission is idempotent; stale data returns a refresh/conflict message; invalid status transitions are blocked; partial failure rolls back without orphan records.</t>
        </is>
      </c>
      <c r="Q171" s="12" t="inlineStr">
        <is>
          <t>Tenant/property scope; required fields; optimistic locking; timezone-safe dates; reason mandatory for overrides; duplicate detection; consent and retention policy; sensitive document masking</t>
        </is>
      </c>
      <c r="R171" s="12" t="inlineStr">
        <is>
          <t>Reservations, Communications</t>
        </is>
      </c>
      <c r="S171" s="12" t="inlineStr">
        <is>
          <t>GET, POST, PUT/PATCH, DELETE /api/v1/create-or-edit-guest; lookup, validation and audit endpoints; idempotency for financial/booking writes; entities: guests, guest_preferences, consents, documents, loyalty_accounts</t>
        </is>
      </c>
      <c r="T171" s="12" t="inlineStr">
        <is>
          <t>Should Have</t>
        </is>
      </c>
      <c r="U171" s="12" t="inlineStr">
        <is>
          <t>Release 1.1</t>
        </is>
      </c>
      <c r="V171" s="34" t="n">
        <v>5</v>
      </c>
      <c r="W171" s="12" t="inlineStr">
        <is>
          <t>S08-S09</t>
        </is>
      </c>
      <c r="X171" s="12" t="inlineStr">
        <is>
          <t>Done</t>
        </is>
      </c>
      <c r="Y171" s="13" t="n">
        <v>1</v>
      </c>
      <c r="Z171" s="12" t="n"/>
      <c r="AA171" s="12" t="inlineStr">
        <is>
          <t>TC-065-B</t>
        </is>
      </c>
      <c r="AB171" s="12" t="inlineStr">
        <is>
          <t>Approved screen design; story reviewed with CRM Manager; dependencies, API contract, role permissions and test data identified.</t>
        </is>
      </c>
      <c r="AC171" s="12" t="inlineStr">
        <is>
          <t>Code reviewed; unit, API, UI, RBAC and integration tests pass; accessibility and responsive states verified; audit evidence captured; product owner accepts in staging.</t>
        </is>
      </c>
      <c r="AD171" s="12" t="inlineStr">
        <is>
          <t>Guest primary workflow: Add Guest (POST /guests) + Edit Guest (PATCH /guests/{id}) via modal, GET /guests/{id} detail. Verified create + edit persist against real data.</t>
        </is>
      </c>
    </row>
    <row r="172" ht="78" customHeight="1" s="43">
      <c r="A172" s="11" t="n">
        <v>2</v>
      </c>
      <c r="B172" s="11" t="n">
        <v>168</v>
      </c>
      <c r="C172" s="12" t="inlineStr">
        <is>
          <t>US-065-03</t>
        </is>
      </c>
      <c r="D172" s="12" t="inlineStr">
        <is>
          <t>Control permissions, overrides and audit for Create or Edit Guest</t>
        </is>
      </c>
      <c r="E172" s="12" t="inlineStr">
        <is>
          <t>EPIC-06</t>
        </is>
      </c>
      <c r="F172" s="12" t="inlineStr">
        <is>
          <t>Guest CRM</t>
        </is>
      </c>
      <c r="G172" s="12" t="inlineStr">
        <is>
          <t>Guest Master</t>
        </is>
      </c>
      <c r="H172" s="11" t="inlineStr">
        <is>
          <t>SCR-065</t>
        </is>
      </c>
      <c r="I172" s="12" t="inlineStr">
        <is>
          <t>Create or Edit Guest</t>
        </is>
      </c>
      <c r="J172" s="12" t="inlineStr">
        <is>
          <t>Security / Exceptions</t>
        </is>
      </c>
      <c r="K172" s="12" t="inlineStr">
        <is>
          <t>CRM Manager</t>
        </is>
      </c>
      <c r="L172" s="12" t="inlineStr">
        <is>
          <t>As a department supervisor or auditor, I want sensitive actions in Create or Edit Guest to follow permissions, approval limits and audit rules, so that resort operations remain secure, compliant and traceable.</t>
        </is>
      </c>
      <c r="M172" s="12" t="inlineStr">
        <is>
          <t>Reduces fraud, privacy leakage, unauthorized overrides and unresolved operational disputes.</t>
        </is>
      </c>
      <c r="N172" s="12" t="inlineStr">
        <is>
          <t>Roles, permissions, approval hierarchy and audit service are configured; allowed and denied test users exist.</t>
        </is>
      </c>
      <c r="O17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72" s="12" t="inlineStr">
        <is>
          <t>Tampered IDs, expired sessions, approval-limit violations and cross-tenant requests are rejected; secrets and sensitive guest/payment fields are never written to logs.</t>
        </is>
      </c>
      <c r="Q172" s="12" t="inlineStr">
        <is>
          <t>Tenant/property scope; required fields; optimistic locking; timezone-safe dates; reason mandatory for overrides; duplicate detection; consent and retention policy; sensitive document masking</t>
        </is>
      </c>
      <c r="R172" s="12" t="inlineStr">
        <is>
          <t>Reservations, Communications</t>
        </is>
      </c>
      <c r="S172" s="12" t="inlineStr">
        <is>
          <t>GET, POST, PUT/PATCH, DELETE /api/v1/create-or-edit-guest; lookup, validation and audit endpoints; idempotency for financial/booking writes; entities: guests, guest_preferences, consents, documents, loyalty_accounts</t>
        </is>
      </c>
      <c r="T172" s="12" t="inlineStr">
        <is>
          <t>Should Have</t>
        </is>
      </c>
      <c r="U172" s="12" t="inlineStr">
        <is>
          <t>Release 1.1</t>
        </is>
      </c>
      <c r="V172" s="34" t="n">
        <v>3</v>
      </c>
      <c r="W172" s="12" t="inlineStr">
        <is>
          <t>S08-S09</t>
        </is>
      </c>
      <c r="X172" s="12" t="inlineStr">
        <is>
          <t>Done</t>
        </is>
      </c>
      <c r="Y172" s="13" t="n">
        <v>1</v>
      </c>
      <c r="Z172" s="12" t="n"/>
      <c r="AA172" s="12" t="inlineStr">
        <is>
          <t>TC-065-C</t>
        </is>
      </c>
      <c r="AB172" s="12" t="inlineStr">
        <is>
          <t>Approved screen design; story reviewed with CRM Manager; dependencies, API contract, role permissions and test data identified.</t>
        </is>
      </c>
      <c r="AC172" s="12" t="inlineStr">
        <is>
          <t>Code reviewed; unit, API, UI, RBAC and integration tests pass; accessibility and responsive states verified; audit evidence captured; product owner accepts in staging.</t>
        </is>
      </c>
      <c r="AD172" s="12" t="inlineStr">
        <is>
          <t>Security/exceptions. These routes were written before chirala_common existed and had NO permission check and NO audit: anyone who could reach the gateway could list every guest, read every folio and post a payment. All 28 endpoints across booking-core routes.py and finance routes.py now carry build_authz guards (require_permission where a property_id is in scope, require_org_permission otherwise). PREREQUISITE FOUND AND FIXED: the guests resource was granted to zero roles and reservations/dashboard to one or two, so guarding first would have locked every role out of the product; iam 0009_core_grants grants them (this is the third such migration after payments in 0007 and front_desk in 0008). SECOND PREREQUISITE: the gateway's /flows/* endpoints called booking-core and finance ANONYMOUSLY, so the aggregation was itself the hole that kept those routes open - the flow client now forwards the caller's token, and each service applies its own checks to the real user. ALSO FIXED a latent bug in the shared authz library: _GRANT_SQL used a bare :prop in both `IS NULL` and a comparison, which Postgres cannot type when an org-scoped check passes NULL - every require_org_permission call was a 500 waiting to happen. Verified: anonymous GET/POST on reservations, guests, folios, payments and /flows/dashboard all return 401; the same calls with a valid token return 200; Dashboard, Guests and Reservations still load in Chrome.</t>
        </is>
      </c>
    </row>
    <row r="173" ht="78" customHeight="1" s="43">
      <c r="A173" s="11" t="n">
        <v>2</v>
      </c>
      <c r="B173" s="11" t="n">
        <v>169</v>
      </c>
      <c r="C173" s="12" t="inlineStr">
        <is>
          <t>US-066-01</t>
        </is>
      </c>
      <c r="D173" s="12" t="inlineStr">
        <is>
          <t>View and find information in Merge Duplicate Guests</t>
        </is>
      </c>
      <c r="E173" s="12" t="inlineStr">
        <is>
          <t>EPIC-06</t>
        </is>
      </c>
      <c r="F173" s="12" t="inlineStr">
        <is>
          <t>Guest CRM</t>
        </is>
      </c>
      <c r="G173" s="12" t="inlineStr">
        <is>
          <t>Data Quality</t>
        </is>
      </c>
      <c r="H173" s="11" t="inlineStr">
        <is>
          <t>SCR-066</t>
        </is>
      </c>
      <c r="I173" s="12" t="inlineStr">
        <is>
          <t>Merge Duplicate Guests</t>
        </is>
      </c>
      <c r="J173" s="12" t="inlineStr">
        <is>
          <t>View / Search</t>
        </is>
      </c>
      <c r="K173" s="12" t="inlineStr">
        <is>
          <t>CRM Manager</t>
        </is>
      </c>
      <c r="L173" s="12" t="inlineStr">
        <is>
          <t>As a CRM Manager, I want to open Merge Duplicate Guests and find relevant records using search, filters and sorting, so that I can make accurate operational decisions.</t>
        </is>
      </c>
      <c r="M173" s="12" t="inlineStr">
        <is>
          <t>Provides timely visibility for data quality and reduces manual lookup effort.</t>
        </is>
      </c>
      <c r="N173" s="12" t="inlineStr">
        <is>
          <t>Authenticated user; active property; view permission for Guest CRM; Reservations, Communications data available.</t>
        </is>
      </c>
      <c r="O173" s="12" t="inlineStr">
        <is>
          <t>Given I am authenticated as CRM Manager with access to the selected property, when I open Merge Duplicate Guests,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73" s="12" t="inlineStr">
        <is>
          <t>Cross-property data never appears; unauthorized fields are masked; invalid filters do not break the screen; unavailable services return a controlled message.</t>
        </is>
      </c>
      <c r="Q173" s="12" t="inlineStr">
        <is>
          <t>Tenant/property scope; required fields; optimistic locking; timezone-safe dates; reason mandatory for overrides; duplicate detection; consent and retention policy; sensitive document masking</t>
        </is>
      </c>
      <c r="R173" s="12" t="inlineStr">
        <is>
          <t>Reservations, Communications</t>
        </is>
      </c>
      <c r="S173" s="12" t="inlineStr">
        <is>
          <t>GET, POST/PATCH /api/v1/merge-duplicate-guests; lookup, validation and audit endpoints; idempotency for financial/booking writes; entities: guests, guest_preferences, consents, documents, loyalty_accounts</t>
        </is>
      </c>
      <c r="T173" s="12" t="inlineStr">
        <is>
          <t>Should Have</t>
        </is>
      </c>
      <c r="U173" s="12" t="inlineStr">
        <is>
          <t>Release 1.1</t>
        </is>
      </c>
      <c r="V173" s="34" t="n">
        <v>3</v>
      </c>
      <c r="W173" s="12" t="inlineStr">
        <is>
          <t>S08-S09</t>
        </is>
      </c>
      <c r="X173" s="12" t="inlineStr">
        <is>
          <t>Backlog</t>
        </is>
      </c>
      <c r="Y173" s="13">
        <f>IF(X173="Done",1,IF(X173="QA",0.9,IF(X173="Code Review",0.75,IF(X173="In Development",0.5,IF(X173="Ready",0.1,0)))))</f>
        <v/>
      </c>
      <c r="Z173" s="12" t="n"/>
      <c r="AA173" s="12" t="inlineStr">
        <is>
          <t>TC-066-A</t>
        </is>
      </c>
      <c r="AB173" s="12" t="inlineStr">
        <is>
          <t>Approved screen design; story reviewed with CRM Manager; dependencies, API contract, role permissions and test data identified.</t>
        </is>
      </c>
      <c r="AC173" s="12" t="inlineStr">
        <is>
          <t>Code reviewed; unit, API, UI, RBAC and integration tests pass; accessibility and responsive states verified; audit evidence captured; product owner accepts in staging.</t>
        </is>
      </c>
      <c r="AD173" s="12" t="n"/>
    </row>
    <row r="174" ht="78" customHeight="1" s="43">
      <c r="A174" s="11" t="n">
        <v>2</v>
      </c>
      <c r="B174" s="11" t="n">
        <v>170</v>
      </c>
      <c r="C174" s="12" t="inlineStr">
        <is>
          <t>US-066-02</t>
        </is>
      </c>
      <c r="D174" s="12" t="inlineStr">
        <is>
          <t>Complete the primary Merge Duplicate Guests workflow</t>
        </is>
      </c>
      <c r="E174" s="12" t="inlineStr">
        <is>
          <t>EPIC-06</t>
        </is>
      </c>
      <c r="F174" s="12" t="inlineStr">
        <is>
          <t>Guest CRM</t>
        </is>
      </c>
      <c r="G174" s="12" t="inlineStr">
        <is>
          <t>Data Quality</t>
        </is>
      </c>
      <c r="H174" s="11" t="inlineStr">
        <is>
          <t>SCR-066</t>
        </is>
      </c>
      <c r="I174" s="12" t="inlineStr">
        <is>
          <t>Merge Duplicate Guests</t>
        </is>
      </c>
      <c r="J174" s="12" t="inlineStr">
        <is>
          <t>Primary Workflow</t>
        </is>
      </c>
      <c r="K174" s="12" t="inlineStr">
        <is>
          <t>CRM Manager</t>
        </is>
      </c>
      <c r="L174" s="12" t="inlineStr">
        <is>
          <t>As a CRM Manager, I want to search, compare, select survivor, merge, undo under policy in Merge Duplicate Guests, so that the data quality process is completed accurately without duplicate or inconsistent records.</t>
        </is>
      </c>
      <c r="M174" s="12" t="inlineStr">
        <is>
          <t>Enable guest crm users to manage data quality through the Merge Duplicate Guests workflow with real-time status, validations and traceability.</t>
        </is>
      </c>
      <c r="N174" s="12" t="inlineStr">
        <is>
          <t>View access confirmed; required masters and linked records exist; Reservations, Communications services are available; approval limit is valid.</t>
        </is>
      </c>
      <c r="O17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merge duplicate guests workflow; invalid or conflicting actions are blocked with clear messages; saved changes appear in related screens; sensitive changes are auditable.</t>
        </is>
      </c>
      <c r="P174" s="12" t="inlineStr">
        <is>
          <t>Duplicate submission is idempotent; stale data returns a refresh/conflict message; invalid status transitions are blocked; partial failure rolls back without orphan records.</t>
        </is>
      </c>
      <c r="Q174" s="12" t="inlineStr">
        <is>
          <t>Tenant/property scope; required fields; optimistic locking; timezone-safe dates; reason mandatory for overrides; duplicate detection; consent and retention policy; sensitive document masking</t>
        </is>
      </c>
      <c r="R174" s="12" t="inlineStr">
        <is>
          <t>Reservations, Communications</t>
        </is>
      </c>
      <c r="S174" s="12" t="inlineStr">
        <is>
          <t>GET, POST/PATCH /api/v1/merge-duplicate-guests; lookup, validation and audit endpoints; idempotency for financial/booking writes; entities: guests, guest_preferences, consents, documents, loyalty_accounts</t>
        </is>
      </c>
      <c r="T174" s="12" t="inlineStr">
        <is>
          <t>Should Have</t>
        </is>
      </c>
      <c r="U174" s="12" t="inlineStr">
        <is>
          <t>Release 1.1</t>
        </is>
      </c>
      <c r="V174" s="34" t="n">
        <v>5</v>
      </c>
      <c r="W174" s="12" t="inlineStr">
        <is>
          <t>S08-S09</t>
        </is>
      </c>
      <c r="X174" s="12" t="inlineStr">
        <is>
          <t>Backlog</t>
        </is>
      </c>
      <c r="Y174" s="13">
        <f>IF(X174="Done",1,IF(X174="QA",0.9,IF(X174="Code Review",0.75,IF(X174="In Development",0.5,IF(X174="Ready",0.1,0)))))</f>
        <v/>
      </c>
      <c r="Z174" s="12" t="n"/>
      <c r="AA174" s="12" t="inlineStr">
        <is>
          <t>TC-066-B</t>
        </is>
      </c>
      <c r="AB174" s="12" t="inlineStr">
        <is>
          <t>Approved screen design; story reviewed with CRM Manager; dependencies, API contract, role permissions and test data identified.</t>
        </is>
      </c>
      <c r="AC174" s="12" t="inlineStr">
        <is>
          <t>Code reviewed; unit, API, UI, RBAC and integration tests pass; accessibility and responsive states verified; audit evidence captured; product owner accepts in staging.</t>
        </is>
      </c>
      <c r="AD174" s="12" t="n"/>
    </row>
    <row r="175" ht="78" customHeight="1" s="43">
      <c r="A175" s="11" t="n">
        <v>2</v>
      </c>
      <c r="B175" s="11" t="n">
        <v>171</v>
      </c>
      <c r="C175" s="12" t="inlineStr">
        <is>
          <t>US-066-03</t>
        </is>
      </c>
      <c r="D175" s="12" t="inlineStr">
        <is>
          <t>Control permissions, overrides and audit for Merge Duplicate Guests</t>
        </is>
      </c>
      <c r="E175" s="12" t="inlineStr">
        <is>
          <t>EPIC-06</t>
        </is>
      </c>
      <c r="F175" s="12" t="inlineStr">
        <is>
          <t>Guest CRM</t>
        </is>
      </c>
      <c r="G175" s="12" t="inlineStr">
        <is>
          <t>Data Quality</t>
        </is>
      </c>
      <c r="H175" s="11" t="inlineStr">
        <is>
          <t>SCR-066</t>
        </is>
      </c>
      <c r="I175" s="12" t="inlineStr">
        <is>
          <t>Merge Duplicate Guests</t>
        </is>
      </c>
      <c r="J175" s="12" t="inlineStr">
        <is>
          <t>Security / Exceptions</t>
        </is>
      </c>
      <c r="K175" s="12" t="inlineStr">
        <is>
          <t>CRM Manager</t>
        </is>
      </c>
      <c r="L175" s="12" t="inlineStr">
        <is>
          <t>As a department supervisor or auditor, I want sensitive actions in Merge Duplicate Guests to follow permissions, approval limits and audit rules, so that resort operations remain secure, compliant and traceable.</t>
        </is>
      </c>
      <c r="M175" s="12" t="inlineStr">
        <is>
          <t>Reduces fraud, privacy leakage, unauthorized overrides and unresolved operational disputes.</t>
        </is>
      </c>
      <c r="N175" s="12" t="inlineStr">
        <is>
          <t>Roles, permissions, approval hierarchy and audit service are configured; allowed and denied test users exist.</t>
        </is>
      </c>
      <c r="O17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75" s="12" t="inlineStr">
        <is>
          <t>Tampered IDs, expired sessions, approval-limit violations and cross-tenant requests are rejected; secrets and sensitive guest/payment fields are never written to logs.</t>
        </is>
      </c>
      <c r="Q175" s="12" t="inlineStr">
        <is>
          <t>Tenant/property scope; required fields; optimistic locking; timezone-safe dates; reason mandatory for overrides; duplicate detection; consent and retention policy; sensitive document masking</t>
        </is>
      </c>
      <c r="R175" s="12" t="inlineStr">
        <is>
          <t>Reservations, Communications</t>
        </is>
      </c>
      <c r="S175" s="12" t="inlineStr">
        <is>
          <t>GET, POST/PATCH /api/v1/merge-duplicate-guests; lookup, validation and audit endpoints; idempotency for financial/booking writes; entities: guests, guest_preferences, consents, documents, loyalty_accounts</t>
        </is>
      </c>
      <c r="T175" s="12" t="inlineStr">
        <is>
          <t>Should Have</t>
        </is>
      </c>
      <c r="U175" s="12" t="inlineStr">
        <is>
          <t>Release 1.1</t>
        </is>
      </c>
      <c r="V175" s="34" t="n">
        <v>3</v>
      </c>
      <c r="W175" s="12" t="inlineStr">
        <is>
          <t>S08-S09</t>
        </is>
      </c>
      <c r="X175" s="12" t="inlineStr">
        <is>
          <t>Backlog</t>
        </is>
      </c>
      <c r="Y175" s="13">
        <f>IF(X175="Done",1,IF(X175="QA",0.9,IF(X175="Code Review",0.75,IF(X175="In Development",0.5,IF(X175="Ready",0.1,0)))))</f>
        <v/>
      </c>
      <c r="Z175" s="12" t="n"/>
      <c r="AA175" s="12" t="inlineStr">
        <is>
          <t>TC-066-C</t>
        </is>
      </c>
      <c r="AB175" s="12" t="inlineStr">
        <is>
          <t>Approved screen design; story reviewed with CRM Manager; dependencies, API contract, role permissions and test data identified.</t>
        </is>
      </c>
      <c r="AC175" s="12" t="inlineStr">
        <is>
          <t>Code reviewed; unit, API, UI, RBAC and integration tests pass; accessibility and responsive states verified; audit evidence captured; product owner accepts in staging.</t>
        </is>
      </c>
      <c r="AD175" s="12" t="n"/>
    </row>
    <row r="176" ht="78" customHeight="1" s="43">
      <c r="A176" s="11" t="n">
        <v>2</v>
      </c>
      <c r="B176" s="11" t="n">
        <v>172</v>
      </c>
      <c r="C176" s="12" t="inlineStr">
        <is>
          <t>US-067-01</t>
        </is>
      </c>
      <c r="D176" s="12" t="inlineStr">
        <is>
          <t>View and find information in Guest Preferences and Consent</t>
        </is>
      </c>
      <c r="E176" s="12" t="inlineStr">
        <is>
          <t>EPIC-06</t>
        </is>
      </c>
      <c r="F176" s="12" t="inlineStr">
        <is>
          <t>Guest CRM</t>
        </is>
      </c>
      <c r="G176" s="12" t="inlineStr">
        <is>
          <t>Preferences &amp; Privacy</t>
        </is>
      </c>
      <c r="H176" s="11" t="inlineStr">
        <is>
          <t>SCR-067</t>
        </is>
      </c>
      <c r="I176" s="12" t="inlineStr">
        <is>
          <t>Guest Preferences and Consent</t>
        </is>
      </c>
      <c r="J176" s="12" t="inlineStr">
        <is>
          <t>View / Search</t>
        </is>
      </c>
      <c r="K176" s="12" t="inlineStr">
        <is>
          <t>CRM Manager</t>
        </is>
      </c>
      <c r="L176" s="12" t="inlineStr">
        <is>
          <t>As a CRM Manager, I want to open Guest Preferences and Consent and find relevant records using search, filters and sorting, so that I can make accurate operational decisions.</t>
        </is>
      </c>
      <c r="M176" s="12" t="inlineStr">
        <is>
          <t>Provides timely visibility for preferences &amp; privacy and reduces manual lookup effort.</t>
        </is>
      </c>
      <c r="N176" s="12" t="inlineStr">
        <is>
          <t>Authenticated user; active property; view permission for Guest CRM; Reservations, Communications data available.</t>
        </is>
      </c>
      <c r="O176" s="12" t="inlineStr">
        <is>
          <t>Given I am authenticated as CRM Manager with access to the selected property, when I open Guest Preferences and Consent,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76" s="12" t="inlineStr">
        <is>
          <t>Cross-property data never appears; unauthorized fields are masked; invalid filters do not break the screen; unavailable services return a controlled message.</t>
        </is>
      </c>
      <c r="Q176" s="12" t="inlineStr">
        <is>
          <t>Tenant/property scope; required fields; optimistic locking; timezone-safe dates; reason mandatory for overrides; duplicate detection; consent and retention policy; sensitive document masking</t>
        </is>
      </c>
      <c r="R176" s="12" t="inlineStr">
        <is>
          <t>Reservations, Communications</t>
        </is>
      </c>
      <c r="S176" s="12" t="inlineStr">
        <is>
          <t>GET, POST, PUT/PATCH, DELETE /api/v1/guest-preferences-and-consent; lookup, validation and audit endpoints; idempotency for financial/booking writes; entities: guests, guest_preferences, consents, documents, loyalty_accounts</t>
        </is>
      </c>
      <c r="T176" s="12" t="inlineStr">
        <is>
          <t>Should Have</t>
        </is>
      </c>
      <c r="U176" s="12" t="inlineStr">
        <is>
          <t>Release 1.1</t>
        </is>
      </c>
      <c r="V176" s="34" t="n">
        <v>3</v>
      </c>
      <c r="W176" s="12" t="inlineStr">
        <is>
          <t>S08-S09</t>
        </is>
      </c>
      <c r="X176" s="12" t="inlineStr">
        <is>
          <t>Backlog</t>
        </is>
      </c>
      <c r="Y176" s="13">
        <f>IF(X176="Done",1,IF(X176="QA",0.9,IF(X176="Code Review",0.75,IF(X176="In Development",0.5,IF(X176="Ready",0.1,0)))))</f>
        <v/>
      </c>
      <c r="Z176" s="12" t="n"/>
      <c r="AA176" s="12" t="inlineStr">
        <is>
          <t>TC-067-A</t>
        </is>
      </c>
      <c r="AB176" s="12" t="inlineStr">
        <is>
          <t>Approved screen design; story reviewed with CRM Manager; dependencies, API contract, role permissions and test data identified.</t>
        </is>
      </c>
      <c r="AC176" s="12" t="inlineStr">
        <is>
          <t>Code reviewed; unit, API, UI, RBAC and integration tests pass; accessibility and responsive states verified; audit evidence captured; product owner accepts in staging.</t>
        </is>
      </c>
      <c r="AD176" s="12" t="n"/>
    </row>
    <row r="177" ht="78" customHeight="1" s="43">
      <c r="A177" s="11" t="n">
        <v>2</v>
      </c>
      <c r="B177" s="11" t="n">
        <v>173</v>
      </c>
      <c r="C177" s="12" t="inlineStr">
        <is>
          <t>US-067-02</t>
        </is>
      </c>
      <c r="D177" s="12" t="inlineStr">
        <is>
          <t>Complete the primary Guest Preferences and Consent workflow</t>
        </is>
      </c>
      <c r="E177" s="12" t="inlineStr">
        <is>
          <t>EPIC-06</t>
        </is>
      </c>
      <c r="F177" s="12" t="inlineStr">
        <is>
          <t>Guest CRM</t>
        </is>
      </c>
      <c r="G177" s="12" t="inlineStr">
        <is>
          <t>Preferences &amp; Privacy</t>
        </is>
      </c>
      <c r="H177" s="11" t="inlineStr">
        <is>
          <t>SCR-067</t>
        </is>
      </c>
      <c r="I177" s="12" t="inlineStr">
        <is>
          <t>Guest Preferences and Consent</t>
        </is>
      </c>
      <c r="J177" s="12" t="inlineStr">
        <is>
          <t>Primary Workflow</t>
        </is>
      </c>
      <c r="K177" s="12" t="inlineStr">
        <is>
          <t>CRM Manager</t>
        </is>
      </c>
      <c r="L177" s="12" t="inlineStr">
        <is>
          <t>As a CRM Manager, I want to list, search, filter, view, create, edit, cancel/delete under policy, export in Guest Preferences and Consent, so that the preferences &amp; privacy process is completed accurately without duplicate or inconsistent records.</t>
        </is>
      </c>
      <c r="M177" s="12" t="inlineStr">
        <is>
          <t>Enable guest crm users to manage preferences &amp; privacy through the Guest Preferences and Consent workflow with real-time status, validations and traceability.</t>
        </is>
      </c>
      <c r="N177" s="12" t="inlineStr">
        <is>
          <t>View access confirmed; required masters and linked records exist; Reservations, Communications services are available; approval limit is valid.</t>
        </is>
      </c>
      <c r="O17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preferences and consent workflow; invalid or conflicting actions are blocked with clear messages; saved changes appear in related screens; sensitive changes are auditable.</t>
        </is>
      </c>
      <c r="P177" s="12" t="inlineStr">
        <is>
          <t>Duplicate submission is idempotent; stale data returns a refresh/conflict message; invalid status transitions are blocked; partial failure rolls back without orphan records.</t>
        </is>
      </c>
      <c r="Q177" s="12" t="inlineStr">
        <is>
          <t>Tenant/property scope; required fields; optimistic locking; timezone-safe dates; reason mandatory for overrides; duplicate detection; consent and retention policy; sensitive document masking</t>
        </is>
      </c>
      <c r="R177" s="12" t="inlineStr">
        <is>
          <t>Reservations, Communications</t>
        </is>
      </c>
      <c r="S177" s="12" t="inlineStr">
        <is>
          <t>GET, POST, PUT/PATCH, DELETE /api/v1/guest-preferences-and-consent; lookup, validation and audit endpoints; idempotency for financial/booking writes; entities: guests, guest_preferences, consents, documents, loyalty_accounts</t>
        </is>
      </c>
      <c r="T177" s="12" t="inlineStr">
        <is>
          <t>Should Have</t>
        </is>
      </c>
      <c r="U177" s="12" t="inlineStr">
        <is>
          <t>Release 1.1</t>
        </is>
      </c>
      <c r="V177" s="34" t="n">
        <v>5</v>
      </c>
      <c r="W177" s="12" t="inlineStr">
        <is>
          <t>S08-S09</t>
        </is>
      </c>
      <c r="X177" s="12" t="inlineStr">
        <is>
          <t>Backlog</t>
        </is>
      </c>
      <c r="Y177" s="13">
        <f>IF(X177="Done",1,IF(X177="QA",0.9,IF(X177="Code Review",0.75,IF(X177="In Development",0.5,IF(X177="Ready",0.1,0)))))</f>
        <v/>
      </c>
      <c r="Z177" s="12" t="n"/>
      <c r="AA177" s="12" t="inlineStr">
        <is>
          <t>TC-067-B</t>
        </is>
      </c>
      <c r="AB177" s="12" t="inlineStr">
        <is>
          <t>Approved screen design; story reviewed with CRM Manager; dependencies, API contract, role permissions and test data identified.</t>
        </is>
      </c>
      <c r="AC177" s="12" t="inlineStr">
        <is>
          <t>Code reviewed; unit, API, UI, RBAC and integration tests pass; accessibility and responsive states verified; audit evidence captured; product owner accepts in staging.</t>
        </is>
      </c>
      <c r="AD177" s="12" t="n"/>
    </row>
    <row r="178" ht="78" customHeight="1" s="43">
      <c r="A178" s="11" t="n">
        <v>2</v>
      </c>
      <c r="B178" s="11" t="n">
        <v>174</v>
      </c>
      <c r="C178" s="12" t="inlineStr">
        <is>
          <t>US-067-03</t>
        </is>
      </c>
      <c r="D178" s="12" t="inlineStr">
        <is>
          <t>Control permissions, overrides and audit for Guest Preferences and Consent</t>
        </is>
      </c>
      <c r="E178" s="12" t="inlineStr">
        <is>
          <t>EPIC-06</t>
        </is>
      </c>
      <c r="F178" s="12" t="inlineStr">
        <is>
          <t>Guest CRM</t>
        </is>
      </c>
      <c r="G178" s="12" t="inlineStr">
        <is>
          <t>Preferences &amp; Privacy</t>
        </is>
      </c>
      <c r="H178" s="11" t="inlineStr">
        <is>
          <t>SCR-067</t>
        </is>
      </c>
      <c r="I178" s="12" t="inlineStr">
        <is>
          <t>Guest Preferences and Consent</t>
        </is>
      </c>
      <c r="J178" s="12" t="inlineStr">
        <is>
          <t>Security / Exceptions</t>
        </is>
      </c>
      <c r="K178" s="12" t="inlineStr">
        <is>
          <t>CRM Manager</t>
        </is>
      </c>
      <c r="L178" s="12" t="inlineStr">
        <is>
          <t>As a department supervisor or auditor, I want sensitive actions in Guest Preferences and Consent to follow permissions, approval limits and audit rules, so that resort operations remain secure, compliant and traceable.</t>
        </is>
      </c>
      <c r="M178" s="12" t="inlineStr">
        <is>
          <t>Reduces fraud, privacy leakage, unauthorized overrides and unresolved operational disputes.</t>
        </is>
      </c>
      <c r="N178" s="12" t="inlineStr">
        <is>
          <t>Roles, permissions, approval hierarchy and audit service are configured; allowed and denied test users exist.</t>
        </is>
      </c>
      <c r="O17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78" s="12" t="inlineStr">
        <is>
          <t>Tampered IDs, expired sessions, approval-limit violations and cross-tenant requests are rejected; secrets and sensitive guest/payment fields are never written to logs.</t>
        </is>
      </c>
      <c r="Q178" s="12" t="inlineStr">
        <is>
          <t>Tenant/property scope; required fields; optimistic locking; timezone-safe dates; reason mandatory for overrides; duplicate detection; consent and retention policy; sensitive document masking</t>
        </is>
      </c>
      <c r="R178" s="12" t="inlineStr">
        <is>
          <t>Reservations, Communications</t>
        </is>
      </c>
      <c r="S178" s="12" t="inlineStr">
        <is>
          <t>GET, POST, PUT/PATCH, DELETE /api/v1/guest-preferences-and-consent; lookup, validation and audit endpoints; idempotency for financial/booking writes; entities: guests, guest_preferences, consents, documents, loyalty_accounts</t>
        </is>
      </c>
      <c r="T178" s="12" t="inlineStr">
        <is>
          <t>Should Have</t>
        </is>
      </c>
      <c r="U178" s="12" t="inlineStr">
        <is>
          <t>Release 1.1</t>
        </is>
      </c>
      <c r="V178" s="34" t="n">
        <v>3</v>
      </c>
      <c r="W178" s="12" t="inlineStr">
        <is>
          <t>S08-S09</t>
        </is>
      </c>
      <c r="X178" s="12" t="inlineStr">
        <is>
          <t>Backlog</t>
        </is>
      </c>
      <c r="Y178" s="13">
        <f>IF(X178="Done",1,IF(X178="QA",0.9,IF(X178="Code Review",0.75,IF(X178="In Development",0.5,IF(X178="Ready",0.1,0)))))</f>
        <v/>
      </c>
      <c r="Z178" s="12" t="n"/>
      <c r="AA178" s="12" t="inlineStr">
        <is>
          <t>TC-067-C</t>
        </is>
      </c>
      <c r="AB178" s="12" t="inlineStr">
        <is>
          <t>Approved screen design; story reviewed with CRM Manager; dependencies, API contract, role permissions and test data identified.</t>
        </is>
      </c>
      <c r="AC178" s="12" t="inlineStr">
        <is>
          <t>Code reviewed; unit, API, UI, RBAC and integration tests pass; accessibility and responsive states verified; audit evidence captured; product owner accepts in staging.</t>
        </is>
      </c>
      <c r="AD178" s="12" t="n"/>
    </row>
    <row r="179" ht="78" customHeight="1" s="43">
      <c r="A179" s="11" t="n">
        <v>2</v>
      </c>
      <c r="B179" s="11" t="n">
        <v>175</v>
      </c>
      <c r="C179" s="12" t="inlineStr">
        <is>
          <t>US-068-01</t>
        </is>
      </c>
      <c r="D179" s="12" t="inlineStr">
        <is>
          <t>View and find information in Guest Documents and KYC</t>
        </is>
      </c>
      <c r="E179" s="12" t="inlineStr">
        <is>
          <t>EPIC-06</t>
        </is>
      </c>
      <c r="F179" s="12" t="inlineStr">
        <is>
          <t>Guest CRM</t>
        </is>
      </c>
      <c r="G179" s="12" t="inlineStr">
        <is>
          <t>Identity Verification</t>
        </is>
      </c>
      <c r="H179" s="11" t="inlineStr">
        <is>
          <t>SCR-068</t>
        </is>
      </c>
      <c r="I179" s="12" t="inlineStr">
        <is>
          <t>Guest Documents and KYC</t>
        </is>
      </c>
      <c r="J179" s="12" t="inlineStr">
        <is>
          <t>View / Search</t>
        </is>
      </c>
      <c r="K179" s="12" t="inlineStr">
        <is>
          <t>CRM Manager</t>
        </is>
      </c>
      <c r="L179" s="12" t="inlineStr">
        <is>
          <t>As a CRM Manager, I want to open Guest Documents and KYC and find relevant records using search, filters and sorting, so that I can make accurate operational decisions.</t>
        </is>
      </c>
      <c r="M179" s="12" t="inlineStr">
        <is>
          <t>Provides timely visibility for identity verification and reduces manual lookup effort.</t>
        </is>
      </c>
      <c r="N179" s="12" t="inlineStr">
        <is>
          <t>Authenticated user; active property; view permission for Guest CRM; Reservations, Communications data available.</t>
        </is>
      </c>
      <c r="O179" s="12" t="inlineStr">
        <is>
          <t>Given I am authenticated as CRM Manager with access to the selected property, when I open Guest Documents and KYC,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79" s="12" t="inlineStr">
        <is>
          <t>Cross-property data never appears; unauthorized fields are masked; invalid filters do not break the screen; unavailable services return a controlled message.</t>
        </is>
      </c>
      <c r="Q179" s="12" t="inlineStr">
        <is>
          <t>Tenant/property scope; required fields; optimistic locking; timezone-safe dates; reason mandatory for overrides; duplicate detection; consent and retention policy; sensitive document masking</t>
        </is>
      </c>
      <c r="R179" s="12" t="inlineStr">
        <is>
          <t>Reservations, Communications</t>
        </is>
      </c>
      <c r="S179" s="12" t="inlineStr">
        <is>
          <t>GET, POST, PUT/PATCH, DELETE /api/v1/guest-documents-and-kyc; lookup, validation and audit endpoints; idempotency for financial/booking writes; entities: guests, guest_preferences, consents, documents, loyalty_accounts</t>
        </is>
      </c>
      <c r="T179" s="12" t="inlineStr">
        <is>
          <t>Should Have</t>
        </is>
      </c>
      <c r="U179" s="12" t="inlineStr">
        <is>
          <t>Release 1.1</t>
        </is>
      </c>
      <c r="V179" s="34" t="n">
        <v>3</v>
      </c>
      <c r="W179" s="12" t="inlineStr">
        <is>
          <t>S08-S09</t>
        </is>
      </c>
      <c r="X179" s="12" t="inlineStr">
        <is>
          <t>Backlog</t>
        </is>
      </c>
      <c r="Y179" s="13">
        <f>IF(X179="Done",1,IF(X179="QA",0.9,IF(X179="Code Review",0.75,IF(X179="In Development",0.5,IF(X179="Ready",0.1,0)))))</f>
        <v/>
      </c>
      <c r="Z179" s="12" t="n"/>
      <c r="AA179" s="12" t="inlineStr">
        <is>
          <t>TC-068-A</t>
        </is>
      </c>
      <c r="AB179" s="12" t="inlineStr">
        <is>
          <t>Approved screen design; story reviewed with CRM Manager; dependencies, API contract, role permissions and test data identified.</t>
        </is>
      </c>
      <c r="AC179" s="12" t="inlineStr">
        <is>
          <t>Code reviewed; unit, API, UI, RBAC and integration tests pass; accessibility and responsive states verified; audit evidence captured; product owner accepts in staging.</t>
        </is>
      </c>
      <c r="AD179" s="12" t="n"/>
    </row>
    <row r="180" ht="78" customHeight="1" s="43">
      <c r="A180" s="11" t="n">
        <v>2</v>
      </c>
      <c r="B180" s="11" t="n">
        <v>176</v>
      </c>
      <c r="C180" s="12" t="inlineStr">
        <is>
          <t>US-068-02</t>
        </is>
      </c>
      <c r="D180" s="12" t="inlineStr">
        <is>
          <t>Complete the primary Guest Documents and KYC workflow</t>
        </is>
      </c>
      <c r="E180" s="12" t="inlineStr">
        <is>
          <t>EPIC-06</t>
        </is>
      </c>
      <c r="F180" s="12" t="inlineStr">
        <is>
          <t>Guest CRM</t>
        </is>
      </c>
      <c r="G180" s="12" t="inlineStr">
        <is>
          <t>Identity Verification</t>
        </is>
      </c>
      <c r="H180" s="11" t="inlineStr">
        <is>
          <t>SCR-068</t>
        </is>
      </c>
      <c r="I180" s="12" t="inlineStr">
        <is>
          <t>Guest Documents and KYC</t>
        </is>
      </c>
      <c r="J180" s="12" t="inlineStr">
        <is>
          <t>Primary Workflow</t>
        </is>
      </c>
      <c r="K180" s="12" t="inlineStr">
        <is>
          <t>CRM Manager</t>
        </is>
      </c>
      <c r="L180" s="12" t="inlineStr">
        <is>
          <t>As a CRM Manager, I want to list, search, filter, view, create, edit, cancel/delete under policy, export in Guest Documents and KYC, so that the identity verification process is completed accurately without duplicate or inconsistent records.</t>
        </is>
      </c>
      <c r="M180" s="12" t="inlineStr">
        <is>
          <t>Enable guest crm users to manage identity verification through the Guest Documents and KYC workflow with real-time status, validations and traceability.</t>
        </is>
      </c>
      <c r="N180" s="12" t="inlineStr">
        <is>
          <t>View access confirmed; required masters and linked records exist; Reservations, Communications services are available; approval limit is valid.</t>
        </is>
      </c>
      <c r="O18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documents and kyc workflow; invalid or conflicting actions are blocked with clear messages; saved changes appear in related screens; sensitive changes are auditable.</t>
        </is>
      </c>
      <c r="P180" s="12" t="inlineStr">
        <is>
          <t>Duplicate submission is idempotent; stale data returns a refresh/conflict message; invalid status transitions are blocked; partial failure rolls back without orphan records.</t>
        </is>
      </c>
      <c r="Q180" s="12" t="inlineStr">
        <is>
          <t>Tenant/property scope; required fields; optimistic locking; timezone-safe dates; reason mandatory for overrides; duplicate detection; consent and retention policy; sensitive document masking</t>
        </is>
      </c>
      <c r="R180" s="12" t="inlineStr">
        <is>
          <t>Reservations, Communications</t>
        </is>
      </c>
      <c r="S180" s="12" t="inlineStr">
        <is>
          <t>GET, POST, PUT/PATCH, DELETE /api/v1/guest-documents-and-kyc; lookup, validation and audit endpoints; idempotency for financial/booking writes; entities: guests, guest_preferences, consents, documents, loyalty_accounts</t>
        </is>
      </c>
      <c r="T180" s="12" t="inlineStr">
        <is>
          <t>Should Have</t>
        </is>
      </c>
      <c r="U180" s="12" t="inlineStr">
        <is>
          <t>Release 1.1</t>
        </is>
      </c>
      <c r="V180" s="34" t="n">
        <v>5</v>
      </c>
      <c r="W180" s="12" t="inlineStr">
        <is>
          <t>S08-S09</t>
        </is>
      </c>
      <c r="X180" s="12" t="inlineStr">
        <is>
          <t>Backlog</t>
        </is>
      </c>
      <c r="Y180" s="13">
        <f>IF(X180="Done",1,IF(X180="QA",0.9,IF(X180="Code Review",0.75,IF(X180="In Development",0.5,IF(X180="Ready",0.1,0)))))</f>
        <v/>
      </c>
      <c r="Z180" s="12" t="n"/>
      <c r="AA180" s="12" t="inlineStr">
        <is>
          <t>TC-068-B</t>
        </is>
      </c>
      <c r="AB180" s="12" t="inlineStr">
        <is>
          <t>Approved screen design; story reviewed with CRM Manager; dependencies, API contract, role permissions and test data identified.</t>
        </is>
      </c>
      <c r="AC180" s="12" t="inlineStr">
        <is>
          <t>Code reviewed; unit, API, UI, RBAC and integration tests pass; accessibility and responsive states verified; audit evidence captured; product owner accepts in staging.</t>
        </is>
      </c>
      <c r="AD180" s="12" t="n"/>
    </row>
    <row r="181" ht="78" customHeight="1" s="43">
      <c r="A181" s="11" t="n">
        <v>2</v>
      </c>
      <c r="B181" s="11" t="n">
        <v>177</v>
      </c>
      <c r="C181" s="12" t="inlineStr">
        <is>
          <t>US-068-03</t>
        </is>
      </c>
      <c r="D181" s="12" t="inlineStr">
        <is>
          <t>Control permissions, overrides and audit for Guest Documents and KYC</t>
        </is>
      </c>
      <c r="E181" s="12" t="inlineStr">
        <is>
          <t>EPIC-06</t>
        </is>
      </c>
      <c r="F181" s="12" t="inlineStr">
        <is>
          <t>Guest CRM</t>
        </is>
      </c>
      <c r="G181" s="12" t="inlineStr">
        <is>
          <t>Identity Verification</t>
        </is>
      </c>
      <c r="H181" s="11" t="inlineStr">
        <is>
          <t>SCR-068</t>
        </is>
      </c>
      <c r="I181" s="12" t="inlineStr">
        <is>
          <t>Guest Documents and KYC</t>
        </is>
      </c>
      <c r="J181" s="12" t="inlineStr">
        <is>
          <t>Security / Exceptions</t>
        </is>
      </c>
      <c r="K181" s="12" t="inlineStr">
        <is>
          <t>CRM Manager</t>
        </is>
      </c>
      <c r="L181" s="12" t="inlineStr">
        <is>
          <t>As a department supervisor or auditor, I want sensitive actions in Guest Documents and KYC to follow permissions, approval limits and audit rules, so that resort operations remain secure, compliant and traceable.</t>
        </is>
      </c>
      <c r="M181" s="12" t="inlineStr">
        <is>
          <t>Reduces fraud, privacy leakage, unauthorized overrides and unresolved operational disputes.</t>
        </is>
      </c>
      <c r="N181" s="12" t="inlineStr">
        <is>
          <t>Roles, permissions, approval hierarchy and audit service are configured; allowed and denied test users exist.</t>
        </is>
      </c>
      <c r="O18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81" s="12" t="inlineStr">
        <is>
          <t>Tampered IDs, expired sessions, approval-limit violations and cross-tenant requests are rejected; secrets and sensitive guest/payment fields are never written to logs.</t>
        </is>
      </c>
      <c r="Q181" s="12" t="inlineStr">
        <is>
          <t>Tenant/property scope; required fields; optimistic locking; timezone-safe dates; reason mandatory for overrides; duplicate detection; consent and retention policy; sensitive document masking</t>
        </is>
      </c>
      <c r="R181" s="12" t="inlineStr">
        <is>
          <t>Reservations, Communications</t>
        </is>
      </c>
      <c r="S181" s="12" t="inlineStr">
        <is>
          <t>GET, POST, PUT/PATCH, DELETE /api/v1/guest-documents-and-kyc; lookup, validation and audit endpoints; idempotency for financial/booking writes; entities: guests, guest_preferences, consents, documents, loyalty_accounts</t>
        </is>
      </c>
      <c r="T181" s="12" t="inlineStr">
        <is>
          <t>Should Have</t>
        </is>
      </c>
      <c r="U181" s="12" t="inlineStr">
        <is>
          <t>Release 1.1</t>
        </is>
      </c>
      <c r="V181" s="34" t="n">
        <v>3</v>
      </c>
      <c r="W181" s="12" t="inlineStr">
        <is>
          <t>S08-S09</t>
        </is>
      </c>
      <c r="X181" s="12" t="inlineStr">
        <is>
          <t>Backlog</t>
        </is>
      </c>
      <c r="Y181" s="13">
        <f>IF(X181="Done",1,IF(X181="QA",0.9,IF(X181="Code Review",0.75,IF(X181="In Development",0.5,IF(X181="Ready",0.1,0)))))</f>
        <v/>
      </c>
      <c r="Z181" s="12" t="n"/>
      <c r="AA181" s="12" t="inlineStr">
        <is>
          <t>TC-068-C</t>
        </is>
      </c>
      <c r="AB181" s="12" t="inlineStr">
        <is>
          <t>Approved screen design; story reviewed with CRM Manager; dependencies, API contract, role permissions and test data identified.</t>
        </is>
      </c>
      <c r="AC181" s="12" t="inlineStr">
        <is>
          <t>Code reviewed; unit, API, UI, RBAC and integration tests pass; accessibility and responsive states verified; audit evidence captured; product owner accepts in staging.</t>
        </is>
      </c>
      <c r="AD181" s="12" t="n"/>
    </row>
    <row r="182" ht="78" customHeight="1" s="43">
      <c r="A182" s="11" t="n">
        <v>2</v>
      </c>
      <c r="B182" s="11" t="n">
        <v>178</v>
      </c>
      <c r="C182" s="12" t="inlineStr">
        <is>
          <t>US-069-01</t>
        </is>
      </c>
      <c r="D182" s="12" t="inlineStr">
        <is>
          <t>View and find information in Loyalty and Membership</t>
        </is>
      </c>
      <c r="E182" s="12" t="inlineStr">
        <is>
          <t>EPIC-06</t>
        </is>
      </c>
      <c r="F182" s="12" t="inlineStr">
        <is>
          <t>Guest CRM</t>
        </is>
      </c>
      <c r="G182" s="12" t="inlineStr">
        <is>
          <t>Loyalty</t>
        </is>
      </c>
      <c r="H182" s="11" t="inlineStr">
        <is>
          <t>SCR-069</t>
        </is>
      </c>
      <c r="I182" s="12" t="inlineStr">
        <is>
          <t>Loyalty and Membership</t>
        </is>
      </c>
      <c r="J182" s="12" t="inlineStr">
        <is>
          <t>View / Search</t>
        </is>
      </c>
      <c r="K182" s="12" t="inlineStr">
        <is>
          <t>CRM Manager</t>
        </is>
      </c>
      <c r="L182" s="12" t="inlineStr">
        <is>
          <t>As a CRM Manager, I want to open Loyalty and Membership and find relevant records using search, filters and sorting, so that I can make accurate operational decisions.</t>
        </is>
      </c>
      <c r="M182" s="12" t="inlineStr">
        <is>
          <t>Provides timely visibility for loyalty and reduces manual lookup effort.</t>
        </is>
      </c>
      <c r="N182" s="12" t="inlineStr">
        <is>
          <t>Authenticated user; active property; view permission for Guest CRM; Reservations, Communications data available.</t>
        </is>
      </c>
      <c r="O182" s="12" t="inlineStr">
        <is>
          <t>Given I am authenticated as CRM Manager with access to the selected property, when I open Loyalty and Membership,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82" s="12" t="inlineStr">
        <is>
          <t>Cross-property data never appears; unauthorized fields are masked; invalid filters do not break the screen; unavailable services return a controlled message.</t>
        </is>
      </c>
      <c r="Q182" s="12" t="inlineStr">
        <is>
          <t>Tenant/property scope; required fields; optimistic locking; timezone-safe dates; reason mandatory for overrides; duplicate detection; consent and retention policy; sensitive document masking</t>
        </is>
      </c>
      <c r="R182" s="12" t="inlineStr">
        <is>
          <t>Reservations, Communications</t>
        </is>
      </c>
      <c r="S182" s="12" t="inlineStr">
        <is>
          <t>GET, POST, PUT/PATCH, DELETE /api/v1/loyalty-and-membership; lookup, validation and audit endpoints; idempotency for financial/booking writes; entities: guests, guest_preferences, consents, documents, loyalty_accounts</t>
        </is>
      </c>
      <c r="T182" s="12" t="inlineStr">
        <is>
          <t>Should Have</t>
        </is>
      </c>
      <c r="U182" s="12" t="inlineStr">
        <is>
          <t>Release 1.1</t>
        </is>
      </c>
      <c r="V182" s="34" t="n">
        <v>3</v>
      </c>
      <c r="W182" s="12" t="inlineStr">
        <is>
          <t>S08-S09</t>
        </is>
      </c>
      <c r="X182" s="12" t="inlineStr">
        <is>
          <t>Backlog</t>
        </is>
      </c>
      <c r="Y182" s="13">
        <f>IF(X182="Done",1,IF(X182="QA",0.9,IF(X182="Code Review",0.75,IF(X182="In Development",0.5,IF(X182="Ready",0.1,0)))))</f>
        <v/>
      </c>
      <c r="Z182" s="12" t="n"/>
      <c r="AA182" s="12" t="inlineStr">
        <is>
          <t>TC-069-A</t>
        </is>
      </c>
      <c r="AB182" s="12" t="inlineStr">
        <is>
          <t>Approved screen design; story reviewed with CRM Manager; dependencies, API contract, role permissions and test data identified.</t>
        </is>
      </c>
      <c r="AC182" s="12" t="inlineStr">
        <is>
          <t>Code reviewed; unit, API, UI, RBAC and integration tests pass; accessibility and responsive states verified; audit evidence captured; product owner accepts in staging.</t>
        </is>
      </c>
      <c r="AD182" s="12" t="n"/>
    </row>
    <row r="183" ht="78" customHeight="1" s="43">
      <c r="A183" s="11" t="n">
        <v>2</v>
      </c>
      <c r="B183" s="11" t="n">
        <v>179</v>
      </c>
      <c r="C183" s="12" t="inlineStr">
        <is>
          <t>US-069-02</t>
        </is>
      </c>
      <c r="D183" s="12" t="inlineStr">
        <is>
          <t>Complete the primary Loyalty and Membership workflow</t>
        </is>
      </c>
      <c r="E183" s="12" t="inlineStr">
        <is>
          <t>EPIC-06</t>
        </is>
      </c>
      <c r="F183" s="12" t="inlineStr">
        <is>
          <t>Guest CRM</t>
        </is>
      </c>
      <c r="G183" s="12" t="inlineStr">
        <is>
          <t>Loyalty</t>
        </is>
      </c>
      <c r="H183" s="11" t="inlineStr">
        <is>
          <t>SCR-069</t>
        </is>
      </c>
      <c r="I183" s="12" t="inlineStr">
        <is>
          <t>Loyalty and Membership</t>
        </is>
      </c>
      <c r="J183" s="12" t="inlineStr">
        <is>
          <t>Primary Workflow</t>
        </is>
      </c>
      <c r="K183" s="12" t="inlineStr">
        <is>
          <t>CRM Manager</t>
        </is>
      </c>
      <c r="L183" s="12" t="inlineStr">
        <is>
          <t>As a CRM Manager, I want to list, search, filter, view, create, edit, cancel/delete under policy, export in Loyalty and Membership, so that the loyalty process is completed accurately without duplicate or inconsistent records.</t>
        </is>
      </c>
      <c r="M183" s="12" t="inlineStr">
        <is>
          <t>Enable guest crm users to manage loyalty through the Loyalty and Membership workflow with real-time status, validations and traceability.</t>
        </is>
      </c>
      <c r="N183" s="12" t="inlineStr">
        <is>
          <t>View access confirmed; required masters and linked records exist; Reservations, Communications services are available; approval limit is valid.</t>
        </is>
      </c>
      <c r="O18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loyalty and membership workflow; invalid or conflicting actions are blocked with clear messages; saved changes appear in related screens; sensitive changes are auditable.</t>
        </is>
      </c>
      <c r="P183" s="12" t="inlineStr">
        <is>
          <t>Duplicate submission is idempotent; stale data returns a refresh/conflict message; invalid status transitions are blocked; partial failure rolls back without orphan records.</t>
        </is>
      </c>
      <c r="Q183" s="12" t="inlineStr">
        <is>
          <t>Tenant/property scope; required fields; optimistic locking; timezone-safe dates; reason mandatory for overrides; duplicate detection; consent and retention policy; sensitive document masking</t>
        </is>
      </c>
      <c r="R183" s="12" t="inlineStr">
        <is>
          <t>Reservations, Communications</t>
        </is>
      </c>
      <c r="S183" s="12" t="inlineStr">
        <is>
          <t>GET, POST, PUT/PATCH, DELETE /api/v1/loyalty-and-membership; lookup, validation and audit endpoints; idempotency for financial/booking writes; entities: guests, guest_preferences, consents, documents, loyalty_accounts</t>
        </is>
      </c>
      <c r="T183" s="12" t="inlineStr">
        <is>
          <t>Should Have</t>
        </is>
      </c>
      <c r="U183" s="12" t="inlineStr">
        <is>
          <t>Release 1.1</t>
        </is>
      </c>
      <c r="V183" s="34" t="n">
        <v>5</v>
      </c>
      <c r="W183" s="12" t="inlineStr">
        <is>
          <t>S08-S09</t>
        </is>
      </c>
      <c r="X183" s="12" t="inlineStr">
        <is>
          <t>Backlog</t>
        </is>
      </c>
      <c r="Y183" s="13">
        <f>IF(X183="Done",1,IF(X183="QA",0.9,IF(X183="Code Review",0.75,IF(X183="In Development",0.5,IF(X183="Ready",0.1,0)))))</f>
        <v/>
      </c>
      <c r="Z183" s="12" t="n"/>
      <c r="AA183" s="12" t="inlineStr">
        <is>
          <t>TC-069-B</t>
        </is>
      </c>
      <c r="AB183" s="12" t="inlineStr">
        <is>
          <t>Approved screen design; story reviewed with CRM Manager; dependencies, API contract, role permissions and test data identified.</t>
        </is>
      </c>
      <c r="AC183" s="12" t="inlineStr">
        <is>
          <t>Code reviewed; unit, API, UI, RBAC and integration tests pass; accessibility and responsive states verified; audit evidence captured; product owner accepts in staging.</t>
        </is>
      </c>
      <c r="AD183" s="12" t="n"/>
    </row>
    <row r="184" ht="78" customHeight="1" s="43">
      <c r="A184" s="11" t="n">
        <v>2</v>
      </c>
      <c r="B184" s="11" t="n">
        <v>180</v>
      </c>
      <c r="C184" s="12" t="inlineStr">
        <is>
          <t>US-069-03</t>
        </is>
      </c>
      <c r="D184" s="12" t="inlineStr">
        <is>
          <t>Control permissions, overrides and audit for Loyalty and Membership</t>
        </is>
      </c>
      <c r="E184" s="12" t="inlineStr">
        <is>
          <t>EPIC-06</t>
        </is>
      </c>
      <c r="F184" s="12" t="inlineStr">
        <is>
          <t>Guest CRM</t>
        </is>
      </c>
      <c r="G184" s="12" t="inlineStr">
        <is>
          <t>Loyalty</t>
        </is>
      </c>
      <c r="H184" s="11" t="inlineStr">
        <is>
          <t>SCR-069</t>
        </is>
      </c>
      <c r="I184" s="12" t="inlineStr">
        <is>
          <t>Loyalty and Membership</t>
        </is>
      </c>
      <c r="J184" s="12" t="inlineStr">
        <is>
          <t>Security / Exceptions</t>
        </is>
      </c>
      <c r="K184" s="12" t="inlineStr">
        <is>
          <t>CRM Manager</t>
        </is>
      </c>
      <c r="L184" s="12" t="inlineStr">
        <is>
          <t>As a department supervisor or auditor, I want sensitive actions in Loyalty and Membership to follow permissions, approval limits and audit rules, so that resort operations remain secure, compliant and traceable.</t>
        </is>
      </c>
      <c r="M184" s="12" t="inlineStr">
        <is>
          <t>Reduces fraud, privacy leakage, unauthorized overrides and unresolved operational disputes.</t>
        </is>
      </c>
      <c r="N184" s="12" t="inlineStr">
        <is>
          <t>Roles, permissions, approval hierarchy and audit service are configured; allowed and denied test users exist.</t>
        </is>
      </c>
      <c r="O18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84" s="12" t="inlineStr">
        <is>
          <t>Tampered IDs, expired sessions, approval-limit violations and cross-tenant requests are rejected; secrets and sensitive guest/payment fields are never written to logs.</t>
        </is>
      </c>
      <c r="Q184" s="12" t="inlineStr">
        <is>
          <t>Tenant/property scope; required fields; optimistic locking; timezone-safe dates; reason mandatory for overrides; duplicate detection; consent and retention policy; sensitive document masking</t>
        </is>
      </c>
      <c r="R184" s="12" t="inlineStr">
        <is>
          <t>Reservations, Communications</t>
        </is>
      </c>
      <c r="S184" s="12" t="inlineStr">
        <is>
          <t>GET, POST, PUT/PATCH, DELETE /api/v1/loyalty-and-membership; lookup, validation and audit endpoints; idempotency for financial/booking writes; entities: guests, guest_preferences, consents, documents, loyalty_accounts</t>
        </is>
      </c>
      <c r="T184" s="12" t="inlineStr">
        <is>
          <t>Should Have</t>
        </is>
      </c>
      <c r="U184" s="12" t="inlineStr">
        <is>
          <t>Release 1.1</t>
        </is>
      </c>
      <c r="V184" s="34" t="n">
        <v>3</v>
      </c>
      <c r="W184" s="12" t="inlineStr">
        <is>
          <t>S08-S09</t>
        </is>
      </c>
      <c r="X184" s="12" t="inlineStr">
        <is>
          <t>Backlog</t>
        </is>
      </c>
      <c r="Y184" s="13">
        <f>IF(X184="Done",1,IF(X184="QA",0.9,IF(X184="Code Review",0.75,IF(X184="In Development",0.5,IF(X184="Ready",0.1,0)))))</f>
        <v/>
      </c>
      <c r="Z184" s="12" t="n"/>
      <c r="AA184" s="12" t="inlineStr">
        <is>
          <t>TC-069-C</t>
        </is>
      </c>
      <c r="AB184" s="12" t="inlineStr">
        <is>
          <t>Approved screen design; story reviewed with CRM Manager; dependencies, API contract, role permissions and test data identified.</t>
        </is>
      </c>
      <c r="AC184" s="12" t="inlineStr">
        <is>
          <t>Code reviewed; unit, API, UI, RBAC and integration tests pass; accessibility and responsive states verified; audit evidence captured; product owner accepts in staging.</t>
        </is>
      </c>
      <c r="AD184" s="12" t="n"/>
    </row>
    <row r="185" ht="78" customHeight="1" s="43">
      <c r="A185" s="11" t="n">
        <v>2</v>
      </c>
      <c r="B185" s="11" t="n">
        <v>181</v>
      </c>
      <c r="C185" s="12" t="inlineStr">
        <is>
          <t>US-070-01</t>
        </is>
      </c>
      <c r="D185" s="12" t="inlineStr">
        <is>
          <t>View and find information in Guest Archive and Anonymization</t>
        </is>
      </c>
      <c r="E185" s="12" t="inlineStr">
        <is>
          <t>EPIC-06</t>
        </is>
      </c>
      <c r="F185" s="12" t="inlineStr">
        <is>
          <t>Guest CRM</t>
        </is>
      </c>
      <c r="G185" s="12" t="inlineStr">
        <is>
          <t>Privacy Operations</t>
        </is>
      </c>
      <c r="H185" s="11" t="inlineStr">
        <is>
          <t>SCR-070</t>
        </is>
      </c>
      <c r="I185" s="12" t="inlineStr">
        <is>
          <t>Guest Archive and Anonymization</t>
        </is>
      </c>
      <c r="J185" s="12" t="inlineStr">
        <is>
          <t>View / Search</t>
        </is>
      </c>
      <c r="K185" s="12" t="inlineStr">
        <is>
          <t>CRM Manager</t>
        </is>
      </c>
      <c r="L185" s="12" t="inlineStr">
        <is>
          <t>As a CRM Manager, I want to open Guest Archive and Anonymization and find relevant records using search, filters and sorting, so that I can make accurate operational decisions.</t>
        </is>
      </c>
      <c r="M185" s="12" t="inlineStr">
        <is>
          <t>Provides timely visibility for privacy operations and reduces manual lookup effort.</t>
        </is>
      </c>
      <c r="N185" s="12" t="inlineStr">
        <is>
          <t>Authenticated user; active property; view permission for Guest CRM; Reservations, Communications data available.</t>
        </is>
      </c>
      <c r="O185" s="12" t="inlineStr">
        <is>
          <t>Given I am authenticated as CRM Manager with access to the selected property, when I open Guest Archive and Anonymization,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85" s="12" t="inlineStr">
        <is>
          <t>Cross-property data never appears; unauthorized fields are masked; invalid filters do not break the screen; unavailable services return a controlled message.</t>
        </is>
      </c>
      <c r="Q185" s="12" t="inlineStr">
        <is>
          <t>Tenant/property scope; required fields; optimistic locking; timezone-safe dates; reason mandatory for overrides; duplicate detection; consent and retention policy; sensitive document masking</t>
        </is>
      </c>
      <c r="R185" s="12" t="inlineStr">
        <is>
          <t>Reservations, Communications</t>
        </is>
      </c>
      <c r="S185" s="12" t="inlineStr">
        <is>
          <t>GET, POST/PATCH /api/v1/guest-archive-and-anonymization; lookup, validation and audit endpoints; idempotency for financial/booking writes; entities: guests, guest_preferences, consents, documents, loyalty_accounts</t>
        </is>
      </c>
      <c r="T185" s="12" t="inlineStr">
        <is>
          <t>Should Have</t>
        </is>
      </c>
      <c r="U185" s="12" t="inlineStr">
        <is>
          <t>Release 1.1</t>
        </is>
      </c>
      <c r="V185" s="34" t="n">
        <v>3</v>
      </c>
      <c r="W185" s="12" t="inlineStr">
        <is>
          <t>S08-S09</t>
        </is>
      </c>
      <c r="X185" s="12" t="inlineStr">
        <is>
          <t>Backlog</t>
        </is>
      </c>
      <c r="Y185" s="13">
        <f>IF(X185="Done",1,IF(X185="QA",0.9,IF(X185="Code Review",0.75,IF(X185="In Development",0.5,IF(X185="Ready",0.1,0)))))</f>
        <v/>
      </c>
      <c r="Z185" s="12" t="n"/>
      <c r="AA185" s="12" t="inlineStr">
        <is>
          <t>TC-070-A</t>
        </is>
      </c>
      <c r="AB185" s="12" t="inlineStr">
        <is>
          <t>Approved screen design; story reviewed with CRM Manager; dependencies, API contract, role permissions and test data identified.</t>
        </is>
      </c>
      <c r="AC185" s="12" t="inlineStr">
        <is>
          <t>Code reviewed; unit, API, UI, RBAC and integration tests pass; accessibility and responsive states verified; audit evidence captured; product owner accepts in staging.</t>
        </is>
      </c>
      <c r="AD185" s="12" t="n"/>
    </row>
    <row r="186" ht="78" customHeight="1" s="43">
      <c r="A186" s="11" t="n">
        <v>2</v>
      </c>
      <c r="B186" s="11" t="n">
        <v>182</v>
      </c>
      <c r="C186" s="12" t="inlineStr">
        <is>
          <t>US-070-02</t>
        </is>
      </c>
      <c r="D186" s="12" t="inlineStr">
        <is>
          <t>Complete the primary Guest Archive and Anonymization workflow</t>
        </is>
      </c>
      <c r="E186" s="12" t="inlineStr">
        <is>
          <t>EPIC-06</t>
        </is>
      </c>
      <c r="F186" s="12" t="inlineStr">
        <is>
          <t>Guest CRM</t>
        </is>
      </c>
      <c r="G186" s="12" t="inlineStr">
        <is>
          <t>Privacy Operations</t>
        </is>
      </c>
      <c r="H186" s="11" t="inlineStr">
        <is>
          <t>SCR-070</t>
        </is>
      </c>
      <c r="I186" s="12" t="inlineStr">
        <is>
          <t>Guest Archive and Anonymization</t>
        </is>
      </c>
      <c r="J186" s="12" t="inlineStr">
        <is>
          <t>Primary Workflow</t>
        </is>
      </c>
      <c r="K186" s="12" t="inlineStr">
        <is>
          <t>CRM Manager</t>
        </is>
      </c>
      <c r="L186" s="12" t="inlineStr">
        <is>
          <t>As a CRM Manager, I want to search, preview impact, archive, anonymize, restore where permitted in Guest Archive and Anonymization, so that the privacy operations process is completed accurately without duplicate or inconsistent records.</t>
        </is>
      </c>
      <c r="M186" s="12" t="inlineStr">
        <is>
          <t>Enable guest crm users to manage privacy operations through the Guest Archive and Anonymization workflow with real-time status, validations and traceability.</t>
        </is>
      </c>
      <c r="N186" s="12" t="inlineStr">
        <is>
          <t>View access confirmed; required masters and linked records exist; Reservations, Communications services are available; approval limit is valid.</t>
        </is>
      </c>
      <c r="O18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archive and anonymization workflow; invalid or conflicting actions are blocked with clear messages; saved changes appear in related screens; sensitive changes are auditable.</t>
        </is>
      </c>
      <c r="P186" s="12" t="inlineStr">
        <is>
          <t>Duplicate submission is idempotent; stale data returns a refresh/conflict message; invalid status transitions are blocked; partial failure rolls back without orphan records.</t>
        </is>
      </c>
      <c r="Q186" s="12" t="inlineStr">
        <is>
          <t>Tenant/property scope; required fields; optimistic locking; timezone-safe dates; reason mandatory for overrides; duplicate detection; consent and retention policy; sensitive document masking</t>
        </is>
      </c>
      <c r="R186" s="12" t="inlineStr">
        <is>
          <t>Reservations, Communications</t>
        </is>
      </c>
      <c r="S186" s="12" t="inlineStr">
        <is>
          <t>GET, POST/PATCH /api/v1/guest-archive-and-anonymization; lookup, validation and audit endpoints; idempotency for financial/booking writes; entities: guests, guest_preferences, consents, documents, loyalty_accounts</t>
        </is>
      </c>
      <c r="T186" s="12" t="inlineStr">
        <is>
          <t>Should Have</t>
        </is>
      </c>
      <c r="U186" s="12" t="inlineStr">
        <is>
          <t>Release 1.1</t>
        </is>
      </c>
      <c r="V186" s="34" t="n">
        <v>5</v>
      </c>
      <c r="W186" s="12" t="inlineStr">
        <is>
          <t>S08-S09</t>
        </is>
      </c>
      <c r="X186" s="12" t="inlineStr">
        <is>
          <t>Backlog</t>
        </is>
      </c>
      <c r="Y186" s="13">
        <f>IF(X186="Done",1,IF(X186="QA",0.9,IF(X186="Code Review",0.75,IF(X186="In Development",0.5,IF(X186="Ready",0.1,0)))))</f>
        <v/>
      </c>
      <c r="Z186" s="12" t="n"/>
      <c r="AA186" s="12" t="inlineStr">
        <is>
          <t>TC-070-B</t>
        </is>
      </c>
      <c r="AB186" s="12" t="inlineStr">
        <is>
          <t>Approved screen design; story reviewed with CRM Manager; dependencies, API contract, role permissions and test data identified.</t>
        </is>
      </c>
      <c r="AC186" s="12" t="inlineStr">
        <is>
          <t>Code reviewed; unit, API, UI, RBAC and integration tests pass; accessibility and responsive states verified; audit evidence captured; product owner accepts in staging.</t>
        </is>
      </c>
      <c r="AD186" s="12" t="n"/>
    </row>
    <row r="187" ht="78" customHeight="1" s="43">
      <c r="A187" s="11" t="n">
        <v>2</v>
      </c>
      <c r="B187" s="11" t="n">
        <v>183</v>
      </c>
      <c r="C187" s="12" t="inlineStr">
        <is>
          <t>US-070-03</t>
        </is>
      </c>
      <c r="D187" s="12" t="inlineStr">
        <is>
          <t>Control permissions, overrides and audit for Guest Archive and Anonymization</t>
        </is>
      </c>
      <c r="E187" s="12" t="inlineStr">
        <is>
          <t>EPIC-06</t>
        </is>
      </c>
      <c r="F187" s="12" t="inlineStr">
        <is>
          <t>Guest CRM</t>
        </is>
      </c>
      <c r="G187" s="12" t="inlineStr">
        <is>
          <t>Privacy Operations</t>
        </is>
      </c>
      <c r="H187" s="11" t="inlineStr">
        <is>
          <t>SCR-070</t>
        </is>
      </c>
      <c r="I187" s="12" t="inlineStr">
        <is>
          <t>Guest Archive and Anonymization</t>
        </is>
      </c>
      <c r="J187" s="12" t="inlineStr">
        <is>
          <t>Security / Exceptions</t>
        </is>
      </c>
      <c r="K187" s="12" t="inlineStr">
        <is>
          <t>CRM Manager</t>
        </is>
      </c>
      <c r="L187" s="12" t="inlineStr">
        <is>
          <t>As a department supervisor or auditor, I want sensitive actions in Guest Archive and Anonymization to follow permissions, approval limits and audit rules, so that resort operations remain secure, compliant and traceable.</t>
        </is>
      </c>
      <c r="M187" s="12" t="inlineStr">
        <is>
          <t>Reduces fraud, privacy leakage, unauthorized overrides and unresolved operational disputes.</t>
        </is>
      </c>
      <c r="N187" s="12" t="inlineStr">
        <is>
          <t>Roles, permissions, approval hierarchy and audit service are configured; allowed and denied test users exist.</t>
        </is>
      </c>
      <c r="O18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87" s="12" t="inlineStr">
        <is>
          <t>Tampered IDs, expired sessions, approval-limit violations and cross-tenant requests are rejected; secrets and sensitive guest/payment fields are never written to logs.</t>
        </is>
      </c>
      <c r="Q187" s="12" t="inlineStr">
        <is>
          <t>Tenant/property scope; required fields; optimistic locking; timezone-safe dates; reason mandatory for overrides; duplicate detection; consent and retention policy; sensitive document masking</t>
        </is>
      </c>
      <c r="R187" s="12" t="inlineStr">
        <is>
          <t>Reservations, Communications</t>
        </is>
      </c>
      <c r="S187" s="12" t="inlineStr">
        <is>
          <t>GET, POST/PATCH /api/v1/guest-archive-and-anonymization; lookup, validation and audit endpoints; idempotency for financial/booking writes; entities: guests, guest_preferences, consents, documents, loyalty_accounts</t>
        </is>
      </c>
      <c r="T187" s="12" t="inlineStr">
        <is>
          <t>Should Have</t>
        </is>
      </c>
      <c r="U187" s="12" t="inlineStr">
        <is>
          <t>Release 1.1</t>
        </is>
      </c>
      <c r="V187" s="34" t="n">
        <v>3</v>
      </c>
      <c r="W187" s="12" t="inlineStr">
        <is>
          <t>S08-S09</t>
        </is>
      </c>
      <c r="X187" s="12" t="inlineStr">
        <is>
          <t>Backlog</t>
        </is>
      </c>
      <c r="Y187" s="13">
        <f>IF(X187="Done",1,IF(X187="QA",0.9,IF(X187="Code Review",0.75,IF(X187="In Development",0.5,IF(X187="Ready",0.1,0)))))</f>
        <v/>
      </c>
      <c r="Z187" s="12" t="n"/>
      <c r="AA187" s="12" t="inlineStr">
        <is>
          <t>TC-070-C</t>
        </is>
      </c>
      <c r="AB187" s="12" t="inlineStr">
        <is>
          <t>Approved screen design; story reviewed with CRM Manager; dependencies, API contract, role permissions and test data identified.</t>
        </is>
      </c>
      <c r="AC187" s="12" t="inlineStr">
        <is>
          <t>Code reviewed; unit, API, UI, RBAC and integration tests pass; accessibility and responsive states verified; audit evidence captured; product owner accepts in staging.</t>
        </is>
      </c>
      <c r="AD187" s="12" t="n"/>
    </row>
    <row r="188" ht="78" customHeight="1" s="43">
      <c r="A188" s="11" t="n">
        <v>2</v>
      </c>
      <c r="B188" s="11" t="n">
        <v>184</v>
      </c>
      <c r="C188" s="12" t="inlineStr">
        <is>
          <t>US-122-01</t>
        </is>
      </c>
      <c r="D188" s="12" t="inlineStr">
        <is>
          <t>View and find information in Guest Campaign Management</t>
        </is>
      </c>
      <c r="E188" s="12" t="inlineStr">
        <is>
          <t>EPIC-27</t>
        </is>
      </c>
      <c r="F188" s="12" t="inlineStr">
        <is>
          <t>Sales &amp; Marketing</t>
        </is>
      </c>
      <c r="G188" s="12" t="inlineStr">
        <is>
          <t>Campaigns</t>
        </is>
      </c>
      <c r="H188" s="11" t="inlineStr">
        <is>
          <t>SCR-122</t>
        </is>
      </c>
      <c r="I188" s="12" t="inlineStr">
        <is>
          <t>Guest Campaign Management</t>
        </is>
      </c>
      <c r="J188" s="12" t="inlineStr">
        <is>
          <t>View / Search</t>
        </is>
      </c>
      <c r="K188" s="12" t="inlineStr">
        <is>
          <t>CRM Manager</t>
        </is>
      </c>
      <c r="L188" s="12" t="inlineStr">
        <is>
          <t>As a CRM Manager, I want to open Guest Campaign Management and find relevant records using search, filters and sorting, so that I can make accurate operational decisions.</t>
        </is>
      </c>
      <c r="M188" s="12" t="inlineStr">
        <is>
          <t>Provides timely visibility for campaigns and reduces manual lookup effort.</t>
        </is>
      </c>
      <c r="N188" s="12" t="inlineStr">
        <is>
          <t>Authenticated user; active property; view permission for Sales &amp; Marketing; Guests, Communications data available.</t>
        </is>
      </c>
      <c r="O188" s="12" t="inlineStr">
        <is>
          <t>Given I am authenticated as CRM Manager with access to the selected property, when I open Guest Campaign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88" s="12" t="inlineStr">
        <is>
          <t>Cross-property data never appears; unauthorized fields are masked; invalid filters do not break the screen; unavailable services return a controlled message.</t>
        </is>
      </c>
      <c r="Q188" s="12" t="inlineStr">
        <is>
          <t>Tenant/property scope; required fields; optimistic locking; timezone-safe dates; reason mandatory for overrides; valid status transition; linked-record integrity</t>
        </is>
      </c>
      <c r="R188" s="12" t="inlineStr">
        <is>
          <t>Guests, Communications</t>
        </is>
      </c>
      <c r="S188" s="12" t="inlineStr">
        <is>
          <t>GET, POST, PUT/PATCH, DELETE /api/v1/guest-campaign-management; lookup, validation and audit endpoints; idempotency for financial/booking writes; entities: campaigns, segments, journeys, campaign_events</t>
        </is>
      </c>
      <c r="T188" s="12" t="inlineStr">
        <is>
          <t>Should Have</t>
        </is>
      </c>
      <c r="U188" s="12" t="inlineStr">
        <is>
          <t>Release 1.1</t>
        </is>
      </c>
      <c r="V188" s="34" t="n">
        <v>3</v>
      </c>
      <c r="W188" s="12" t="inlineStr">
        <is>
          <t>S08-S09</t>
        </is>
      </c>
      <c r="X188" s="12" t="inlineStr">
        <is>
          <t>Backlog</t>
        </is>
      </c>
      <c r="Y188" s="13">
        <f>IF(X188="Done",1,IF(X188="QA",0.9,IF(X188="Code Review",0.75,IF(X188="In Development",0.5,IF(X188="Ready",0.1,0)))))</f>
        <v/>
      </c>
      <c r="Z188" s="12" t="n"/>
      <c r="AA188" s="12" t="inlineStr">
        <is>
          <t>TC-122-A</t>
        </is>
      </c>
      <c r="AB188" s="12" t="inlineStr">
        <is>
          <t>Approved screen design; story reviewed with CRM Manager; dependencies, API contract, role permissions and test data identified.</t>
        </is>
      </c>
      <c r="AC188" s="12" t="inlineStr">
        <is>
          <t>Code reviewed; unit, API, UI, RBAC and integration tests pass; accessibility and responsive states verified; audit evidence captured; product owner accepts in staging.</t>
        </is>
      </c>
      <c r="AD188" s="12" t="n"/>
    </row>
    <row r="189" ht="78" customHeight="1" s="43">
      <c r="A189" s="11" t="n">
        <v>2</v>
      </c>
      <c r="B189" s="11" t="n">
        <v>185</v>
      </c>
      <c r="C189" s="12" t="inlineStr">
        <is>
          <t>US-122-02</t>
        </is>
      </c>
      <c r="D189" s="12" t="inlineStr">
        <is>
          <t>Complete the primary Guest Campaign Management workflow</t>
        </is>
      </c>
      <c r="E189" s="12" t="inlineStr">
        <is>
          <t>EPIC-27</t>
        </is>
      </c>
      <c r="F189" s="12" t="inlineStr">
        <is>
          <t>Sales &amp; Marketing</t>
        </is>
      </c>
      <c r="G189" s="12" t="inlineStr">
        <is>
          <t>Campaigns</t>
        </is>
      </c>
      <c r="H189" s="11" t="inlineStr">
        <is>
          <t>SCR-122</t>
        </is>
      </c>
      <c r="I189" s="12" t="inlineStr">
        <is>
          <t>Guest Campaign Management</t>
        </is>
      </c>
      <c r="J189" s="12" t="inlineStr">
        <is>
          <t>Primary Workflow</t>
        </is>
      </c>
      <c r="K189" s="12" t="inlineStr">
        <is>
          <t>CRM Manager</t>
        </is>
      </c>
      <c r="L189" s="12" t="inlineStr">
        <is>
          <t>As a CRM Manager, I want to list, view, create, edit, activate/deactivate, delete where safe in Guest Campaign Management, so that the campaigns process is completed accurately without duplicate or inconsistent records.</t>
        </is>
      </c>
      <c r="M189" s="12" t="inlineStr">
        <is>
          <t>Enable sales &amp; marketing users to manage campaigns through the Guest Campaign Management workflow with real-time status, validations and traceability.</t>
        </is>
      </c>
      <c r="N189" s="12" t="inlineStr">
        <is>
          <t>View access confirmed; required masters and linked records exist; Guests, Communications services are available; approval limit is valid.</t>
        </is>
      </c>
      <c r="O18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campaign management workflow; invalid or conflicting actions are blocked with clear messages; saved changes appear in related screens; sensitive changes are auditable.</t>
        </is>
      </c>
      <c r="P189" s="12" t="inlineStr">
        <is>
          <t>Duplicate submission is idempotent; stale data returns a refresh/conflict message; invalid status transitions are blocked; partial failure rolls back without orphan records.</t>
        </is>
      </c>
      <c r="Q189" s="12" t="inlineStr">
        <is>
          <t>Tenant/property scope; required fields; optimistic locking; timezone-safe dates; reason mandatory for overrides; valid status transition; linked-record integrity</t>
        </is>
      </c>
      <c r="R189" s="12" t="inlineStr">
        <is>
          <t>Guests, Communications</t>
        </is>
      </c>
      <c r="S189" s="12" t="inlineStr">
        <is>
          <t>GET, POST, PUT/PATCH, DELETE /api/v1/guest-campaign-management; lookup, validation and audit endpoints; idempotency for financial/booking writes; entities: campaigns, segments, journeys, campaign_events</t>
        </is>
      </c>
      <c r="T189" s="12" t="inlineStr">
        <is>
          <t>Should Have</t>
        </is>
      </c>
      <c r="U189" s="12" t="inlineStr">
        <is>
          <t>Release 1.1</t>
        </is>
      </c>
      <c r="V189" s="34" t="n">
        <v>5</v>
      </c>
      <c r="W189" s="12" t="inlineStr">
        <is>
          <t>S08-S09</t>
        </is>
      </c>
      <c r="X189" s="12" t="inlineStr">
        <is>
          <t>Backlog</t>
        </is>
      </c>
      <c r="Y189" s="13">
        <f>IF(X189="Done",1,IF(X189="QA",0.9,IF(X189="Code Review",0.75,IF(X189="In Development",0.5,IF(X189="Ready",0.1,0)))))</f>
        <v/>
      </c>
      <c r="Z189" s="12" t="n"/>
      <c r="AA189" s="12" t="inlineStr">
        <is>
          <t>TC-122-B</t>
        </is>
      </c>
      <c r="AB189" s="12" t="inlineStr">
        <is>
          <t>Approved screen design; story reviewed with CRM Manager; dependencies, API contract, role permissions and test data identified.</t>
        </is>
      </c>
      <c r="AC189" s="12" t="inlineStr">
        <is>
          <t>Code reviewed; unit, API, UI, RBAC and integration tests pass; accessibility and responsive states verified; audit evidence captured; product owner accepts in staging.</t>
        </is>
      </c>
      <c r="AD189" s="12" t="n"/>
    </row>
    <row r="190" ht="78" customHeight="1" s="43">
      <c r="A190" s="11" t="n">
        <v>2</v>
      </c>
      <c r="B190" s="11" t="n">
        <v>186</v>
      </c>
      <c r="C190" s="12" t="inlineStr">
        <is>
          <t>US-122-03</t>
        </is>
      </c>
      <c r="D190" s="12" t="inlineStr">
        <is>
          <t>Control permissions, overrides and audit for Guest Campaign Management</t>
        </is>
      </c>
      <c r="E190" s="12" t="inlineStr">
        <is>
          <t>EPIC-27</t>
        </is>
      </c>
      <c r="F190" s="12" t="inlineStr">
        <is>
          <t>Sales &amp; Marketing</t>
        </is>
      </c>
      <c r="G190" s="12" t="inlineStr">
        <is>
          <t>Campaigns</t>
        </is>
      </c>
      <c r="H190" s="11" t="inlineStr">
        <is>
          <t>SCR-122</t>
        </is>
      </c>
      <c r="I190" s="12" t="inlineStr">
        <is>
          <t>Guest Campaign Management</t>
        </is>
      </c>
      <c r="J190" s="12" t="inlineStr">
        <is>
          <t>Security / Exceptions</t>
        </is>
      </c>
      <c r="K190" s="12" t="inlineStr">
        <is>
          <t>CRM Manager</t>
        </is>
      </c>
      <c r="L190" s="12" t="inlineStr">
        <is>
          <t>As a department supervisor or auditor, I want sensitive actions in Guest Campaign Management to follow permissions, approval limits and audit rules, so that resort operations remain secure, compliant and traceable.</t>
        </is>
      </c>
      <c r="M190" s="12" t="inlineStr">
        <is>
          <t>Reduces fraud, privacy leakage, unauthorized overrides and unresolved operational disputes.</t>
        </is>
      </c>
      <c r="N190" s="12" t="inlineStr">
        <is>
          <t>Roles, permissions, approval hierarchy and audit service are configured; allowed and denied test users exist.</t>
        </is>
      </c>
      <c r="O19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90" s="12" t="inlineStr">
        <is>
          <t>Tampered IDs, expired sessions, approval-limit violations and cross-tenant requests are rejected; secrets and sensitive guest/payment fields are never written to logs.</t>
        </is>
      </c>
      <c r="Q190" s="12" t="inlineStr">
        <is>
          <t>Tenant/property scope; required fields; optimistic locking; timezone-safe dates; reason mandatory for overrides; valid status transition; linked-record integrity</t>
        </is>
      </c>
      <c r="R190" s="12" t="inlineStr">
        <is>
          <t>Guests, Communications</t>
        </is>
      </c>
      <c r="S190" s="12" t="inlineStr">
        <is>
          <t>GET, POST, PUT/PATCH, DELETE /api/v1/guest-campaign-management; lookup, validation and audit endpoints; idempotency for financial/booking writes; entities: campaigns, segments, journeys, campaign_events</t>
        </is>
      </c>
      <c r="T190" s="12" t="inlineStr">
        <is>
          <t>Should Have</t>
        </is>
      </c>
      <c r="U190" s="12" t="inlineStr">
        <is>
          <t>Release 1.1</t>
        </is>
      </c>
      <c r="V190" s="34" t="n">
        <v>3</v>
      </c>
      <c r="W190" s="12" t="inlineStr">
        <is>
          <t>S08-S09</t>
        </is>
      </c>
      <c r="X190" s="12" t="inlineStr">
        <is>
          <t>Backlog</t>
        </is>
      </c>
      <c r="Y190" s="13">
        <f>IF(X190="Done",1,IF(X190="QA",0.9,IF(X190="Code Review",0.75,IF(X190="In Development",0.5,IF(X190="Ready",0.1,0)))))</f>
        <v/>
      </c>
      <c r="Z190" s="12" t="n"/>
      <c r="AA190" s="12" t="inlineStr">
        <is>
          <t>TC-122-C</t>
        </is>
      </c>
      <c r="AB190" s="12" t="inlineStr">
        <is>
          <t>Approved screen design; story reviewed with CRM Manager; dependencies, API contract, role permissions and test data identified.</t>
        </is>
      </c>
      <c r="AC190" s="12" t="inlineStr">
        <is>
          <t>Code reviewed; unit, API, UI, RBAC and integration tests pass; accessibility and responsive states verified; audit evidence captured; product owner accepts in staging.</t>
        </is>
      </c>
      <c r="AD190" s="12" t="n"/>
    </row>
    <row r="191" ht="78" customHeight="1" s="43">
      <c r="A191" s="11" t="n">
        <v>2</v>
      </c>
      <c r="B191" s="11" t="n">
        <v>187</v>
      </c>
      <c r="C191" s="12" t="inlineStr">
        <is>
          <t>US-006-01</t>
        </is>
      </c>
      <c r="D191" s="12" t="inlineStr">
        <is>
          <t>View and find information in Housekeeping Operations</t>
        </is>
      </c>
      <c r="E191" s="12" t="inlineStr">
        <is>
          <t>EPIC-04</t>
        </is>
      </c>
      <c r="F191" s="12" t="inlineStr">
        <is>
          <t>Housekeeping</t>
        </is>
      </c>
      <c r="G191" s="12" t="inlineStr">
        <is>
          <t>Room Operations</t>
        </is>
      </c>
      <c r="H191" s="11" t="inlineStr">
        <is>
          <t>SCR-006</t>
        </is>
      </c>
      <c r="I191" s="12" t="inlineStr">
        <is>
          <t>Housekeeping Operations</t>
        </is>
      </c>
      <c r="J191" s="12" t="inlineStr">
        <is>
          <t>View / Search</t>
        </is>
      </c>
      <c r="K191" s="12" t="inlineStr">
        <is>
          <t>Housekeeping Manager</t>
        </is>
      </c>
      <c r="L191" s="12" t="inlineStr">
        <is>
          <t>As a Housekeeping Manager, I want to open Housekeeping Operations and find relevant records using search, filters and sorting, so that I can make accurate operational decisions.</t>
        </is>
      </c>
      <c r="M191" s="12" t="inlineStr">
        <is>
          <t>Provides timely visibility for room operations and reduces manual lookup effort.</t>
        </is>
      </c>
      <c r="N191" s="12" t="inlineStr">
        <is>
          <t>Authenticated user; active property; view permission for Housekeeping; Rooms, Workforce, Inventory data available.</t>
        </is>
      </c>
      <c r="O191" s="12" t="inlineStr">
        <is>
          <t>Given I am authenticated as Housekeeping Manager with access to the selected property, when I open Housekeeping Operations,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91" s="12" t="inlineStr">
        <is>
          <t>Cross-property data never appears; unauthorized fields are masked; invalid filters do not break the screen; unavailable services return a controlled message.</t>
        </is>
      </c>
      <c r="Q191" s="12" t="inlineStr">
        <is>
          <t>Tenant/property scope; required fields; optimistic locking; timezone-safe dates; reason mandatory for overrides; valid status transition; linked-record integrity</t>
        </is>
      </c>
      <c r="R191" s="12" t="inlineStr">
        <is>
          <t>Rooms, Workforce, Inventory</t>
        </is>
      </c>
      <c r="S191" s="12" t="inlineStr">
        <is>
          <t>GET, POST, PUT/PATCH, DELETE /api/v1/housekeeping-operations; lookup, validation and audit endpoints; idempotency for financial/booking writes; entities: housekeeping_tasks, room_status_logs, lost_found, linen_movements, minibar_postings</t>
        </is>
      </c>
      <c r="T191" s="12" t="inlineStr">
        <is>
          <t>Should Have</t>
        </is>
      </c>
      <c r="U191" s="12" t="inlineStr">
        <is>
          <t>Release 1.1</t>
        </is>
      </c>
      <c r="V191" s="34" t="n">
        <v>3</v>
      </c>
      <c r="W191" s="12" t="inlineStr">
        <is>
          <t>S10-S11</t>
        </is>
      </c>
      <c r="X191" s="12" t="inlineStr">
        <is>
          <t>Done</t>
        </is>
      </c>
      <c r="Y191" s="13" t="n">
        <v>1</v>
      </c>
      <c r="Z191" s="12" t="n"/>
      <c r="AA191" s="12" t="inlineStr">
        <is>
          <t>TC-006-A</t>
        </is>
      </c>
      <c r="AB191" s="12" t="inlineStr">
        <is>
          <t>Approved screen design; story reviewed with Housekeeping Manager; dependencies, API contract, role permissions and test data identified.</t>
        </is>
      </c>
      <c r="AC191" s="12" t="inlineStr">
        <is>
          <t>Code reviewed; unit, API, UI, RBAC and integration tests pass; accessibility and responsive states verified; audit evidence captured; product owner accepts in staging.</t>
        </is>
      </c>
      <c r="AD191" s="12" t="inlineStr">
        <is>
          <t>Housekeeping Operations, Room Board tab (mockup 006) at /housekeeping. Five lanes — Dirty, Assigned, In Progress, Inspection, Ready — over every active room, with 5 KPI cards (Dirty Rooms, Cleaning, Ready, Inspection Due, Staff On Duty) that double as lane filters, plus Floor / Room Type / Status / Attendant selects, a Team Workload panel and a Recent Activity feed. Cards carry room, type, priority, attendant, departure and next-arrival context and a live elapsed timer while cleaning. KPIs are counted before filtering so the headline numbers do not move when the board is filtered. GET /housekeeping/board and /housekeeping/activity. Verified in Chrome on Chirala Bay Resort, business date 2026-09-09.</t>
        </is>
      </c>
    </row>
    <row r="192" ht="78" customHeight="1" s="43">
      <c r="A192" s="11" t="n">
        <v>2</v>
      </c>
      <c r="B192" s="11" t="n">
        <v>188</v>
      </c>
      <c r="C192" s="12" t="inlineStr">
        <is>
          <t>US-006-02</t>
        </is>
      </c>
      <c r="D192" s="12" t="inlineStr">
        <is>
          <t>Complete the primary Housekeeping Operations workflow</t>
        </is>
      </c>
      <c r="E192" s="12" t="inlineStr">
        <is>
          <t>EPIC-04</t>
        </is>
      </c>
      <c r="F192" s="12" t="inlineStr">
        <is>
          <t>Housekeeping</t>
        </is>
      </c>
      <c r="G192" s="12" t="inlineStr">
        <is>
          <t>Room Operations</t>
        </is>
      </c>
      <c r="H192" s="11" t="inlineStr">
        <is>
          <t>SCR-006</t>
        </is>
      </c>
      <c r="I192" s="12" t="inlineStr">
        <is>
          <t>Housekeeping Operations</t>
        </is>
      </c>
      <c r="J192" s="12" t="inlineStr">
        <is>
          <t>Primary Workflow</t>
        </is>
      </c>
      <c r="K192" s="12" t="inlineStr">
        <is>
          <t>Housekeeping Manager</t>
        </is>
      </c>
      <c r="L192" s="12" t="inlineStr">
        <is>
          <t>As a Housekeeping Manager, I want to list, search, filter, view, create, edit, cancel/delete under policy, export in Housekeeping Operations, so that the room operations process is completed accurately without duplicate or inconsistent records.</t>
        </is>
      </c>
      <c r="M192" s="12" t="inlineStr">
        <is>
          <t>Enable housekeeping users to manage room operations through the Housekeeping Operations workflow with real-time status, validations and traceability.</t>
        </is>
      </c>
      <c r="N192" s="12" t="inlineStr">
        <is>
          <t>View access confirmed; required masters and linked records exist; Rooms, Workforce, Inventory services are available; approval limit is valid.</t>
        </is>
      </c>
      <c r="O19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housekeeping operations workflow; invalid or conflicting actions are blocked with clear messages; saved changes appear in related screens; sensitive changes are auditable.</t>
        </is>
      </c>
      <c r="P192" s="12" t="inlineStr">
        <is>
          <t>Duplicate submission is idempotent; stale data returns a refresh/conflict message; invalid status transitions are blocked; partial failure rolls back without orphan records.</t>
        </is>
      </c>
      <c r="Q192" s="12" t="inlineStr">
        <is>
          <t>Tenant/property scope; required fields; optimistic locking; timezone-safe dates; reason mandatory for overrides; valid status transition; linked-record integrity</t>
        </is>
      </c>
      <c r="R192" s="12" t="inlineStr">
        <is>
          <t>Rooms, Workforce, Inventory</t>
        </is>
      </c>
      <c r="S192" s="12" t="inlineStr">
        <is>
          <t>GET, POST, PUT/PATCH, DELETE /api/v1/housekeeping-operations; lookup, validation and audit endpoints; idempotency for financial/booking writes; entities: housekeeping_tasks, room_status_logs, lost_found, linen_movements, minibar_postings</t>
        </is>
      </c>
      <c r="T192" s="12" t="inlineStr">
        <is>
          <t>Should Have</t>
        </is>
      </c>
      <c r="U192" s="12" t="inlineStr">
        <is>
          <t>Release 1.1</t>
        </is>
      </c>
      <c r="V192" s="34" t="n">
        <v>5</v>
      </c>
      <c r="W192" s="12" t="inlineStr">
        <is>
          <t>S10-S11</t>
        </is>
      </c>
      <c r="X192" s="12" t="inlineStr">
        <is>
          <t>Done</t>
        </is>
      </c>
      <c r="Y192" s="13" t="n">
        <v>1</v>
      </c>
      <c r="Z192" s="12" t="n"/>
      <c r="AA192" s="12" t="inlineStr">
        <is>
          <t>TC-006-B</t>
        </is>
      </c>
      <c r="AB192" s="12" t="inlineStr">
        <is>
          <t>Approved screen design; story reviewed with Housekeeping Manager; dependencies, API contract, role permissions and test data identified.</t>
        </is>
      </c>
      <c r="AC192" s="12" t="inlineStr">
        <is>
          <t>Code reviewed; unit, API, UI, RBAC and integration tests pass; accessibility and responsive states verified; audit evidence captured; product owner accepts in staging.</t>
        </is>
      </c>
      <c r="AD192" s="12" t="inlineStr">
        <is>
          <t>Full task lifecycle built and verified end to end: assigned -&gt; in_progress -&gt; inspection -&gt; ready, with fail sending the room back to be redone and incrementing rejected_count. New table operations.housekeeping_tasks (migration 0019_housekeeping) with a partial unique index allowing only ONE open task per room, so two attendants cannot be sent to the same room. Endpoints: POST /housekeeping/tasks, /tasks/{id}/assign, /tasks/{id}/advance, /tasks/{id}/cancel, /auto-assign. Auto Assign spreads unassigned dirty rooms urgent-first onto whoever holds the least work, counting what it hands out in the same pass. Room condition is NOT duplicated: each transition drives operations.room_condition (dirty/cleaning/clean/inspected) and writes a room_status_event, so the rack, dashboard and room history agree with the board. Verified: room 303 went Dirty -&gt; Inspected on the Rooms status screen driven only by this board. NOT DONE: export — the tracker lists export among this story's verbs and no export exists on this screen yet. The other five tabs of mockup 006 (Tasks, Linen, Minibar, Lost &amp; Found, Inspections) are separate screens (SCR-071/072/074/075/076) and are shown disabled rather than faked. 2026-09-10 EXPORT ADDED, story closed. Was held at Integration purely for want of an export. Built on a single shared helper (frontend/src/lib/csv.ts) rather than a fifth inline copy: four screens each growing their own CSV writer is four chances for the quoting to differ, and a comma inside a guest address silently splitting a column is a bug nobody reports because the file merely looks odd. RFC 4180 quoting (inner quotes doubled), CRLF rows and a UTF-8 BOM so Excel does not mangle the rupee sign or accented names. Verified by capturing the real Blob in Chrome, not by assuming the click worked. Housekeeping exports the attendants' RUN SHEET — every room in every lane in board order, with condition, priority, attendant, elapsed minutes and rejected count, so it can be printed and carried. New can_export on the board, gated on housekeeping.export. Verified: 16 rows, housekeeping-2026-09-10.csv.</t>
        </is>
      </c>
    </row>
    <row r="193" ht="78" customHeight="1" s="43">
      <c r="A193" s="11" t="n">
        <v>2</v>
      </c>
      <c r="B193" s="11" t="n">
        <v>189</v>
      </c>
      <c r="C193" s="12" t="inlineStr">
        <is>
          <t>US-006-03</t>
        </is>
      </c>
      <c r="D193" s="12" t="inlineStr">
        <is>
          <t>Control permissions, overrides and audit for Housekeeping Operations</t>
        </is>
      </c>
      <c r="E193" s="12" t="inlineStr">
        <is>
          <t>EPIC-04</t>
        </is>
      </c>
      <c r="F193" s="12" t="inlineStr">
        <is>
          <t>Housekeeping</t>
        </is>
      </c>
      <c r="G193" s="12" t="inlineStr">
        <is>
          <t>Room Operations</t>
        </is>
      </c>
      <c r="H193" s="11" t="inlineStr">
        <is>
          <t>SCR-006</t>
        </is>
      </c>
      <c r="I193" s="12" t="inlineStr">
        <is>
          <t>Housekeeping Operations</t>
        </is>
      </c>
      <c r="J193" s="12" t="inlineStr">
        <is>
          <t>Security / Exceptions</t>
        </is>
      </c>
      <c r="K193" s="12" t="inlineStr">
        <is>
          <t>Housekeeping Manager</t>
        </is>
      </c>
      <c r="L193" s="12" t="inlineStr">
        <is>
          <t>As a department supervisor or auditor, I want sensitive actions in Housekeeping Operations to follow permissions, approval limits and audit rules, so that resort operations remain secure, compliant and traceable.</t>
        </is>
      </c>
      <c r="M193" s="12" t="inlineStr">
        <is>
          <t>Reduces fraud, privacy leakage, unauthorized overrides and unresolved operational disputes.</t>
        </is>
      </c>
      <c r="N193" s="12" t="inlineStr">
        <is>
          <t>Roles, permissions, approval hierarchy and audit service are configured; allowed and denied test users exist.</t>
        </is>
      </c>
      <c r="O19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93" s="12" t="inlineStr">
        <is>
          <t>Tampered IDs, expired sessions, approval-limit violations and cross-tenant requests are rejected; secrets and sensitive guest/payment fields are never written to logs.</t>
        </is>
      </c>
      <c r="Q193" s="12" t="inlineStr">
        <is>
          <t>Tenant/property scope; required fields; optimistic locking; timezone-safe dates; reason mandatory for overrides; valid status transition; linked-record integrity</t>
        </is>
      </c>
      <c r="R193" s="12" t="inlineStr">
        <is>
          <t>Rooms, Workforce, Inventory</t>
        </is>
      </c>
      <c r="S193" s="12" t="inlineStr">
        <is>
          <t>GET, POST, PUT/PATCH, DELETE /api/v1/housekeeping-operations; lookup, validation and audit endpoints; idempotency for financial/booking writes; entities: housekeeping_tasks, room_status_logs, lost_found, linen_movements, minibar_postings</t>
        </is>
      </c>
      <c r="T193" s="12" t="inlineStr">
        <is>
          <t>Should Have</t>
        </is>
      </c>
      <c r="U193" s="12" t="inlineStr">
        <is>
          <t>Release 1.1</t>
        </is>
      </c>
      <c r="V193" s="34" t="n">
        <v>3</v>
      </c>
      <c r="W193" s="12" t="inlineStr">
        <is>
          <t>S10-S11</t>
        </is>
      </c>
      <c r="X193" s="12" t="inlineStr">
        <is>
          <t>Done</t>
        </is>
      </c>
      <c r="Y193" s="13" t="n">
        <v>1</v>
      </c>
      <c r="Z193" s="12" t="n"/>
      <c r="AA193" s="12" t="inlineStr">
        <is>
          <t>TC-006-C</t>
        </is>
      </c>
      <c r="AB193" s="12" t="inlineStr">
        <is>
          <t>Approved screen design; story reviewed with Housekeeping Manager; dependencies, API contract, role permissions and test data identified.</t>
        </is>
      </c>
      <c r="AC193" s="12" t="inlineStr">
        <is>
          <t>Code reviewed; unit, API, UI, RBAC and integration tests pass; accessibility and responsive states verified; audit evidence captured; product owner accepts in staging.</t>
        </is>
      </c>
      <c r="AD193" s="12" t="inlineStr">
        <is>
          <t>Every endpoint is deny-by-default via chirala_common.authz: view guards the board and activity, create guards task creation, edit guards assign/advance, cancel guards cancellation. Signing off an inspection (pass/fail) additionally requires housekeeping.approve, so doing the work and approving it are separate rights. Migration 0010_housekeeping_grants was required first: all seven housekeeping permission rows had existed since the original IAM seed granted to ZERO roles — including the role named Housekeeping held by a real user — so the board would have 403'd for everyone. Granted: Housekeeping view/create/edit/cancel/export, Front Desk view, Resort Manager / Administrator / Property IT Administrator all seven. Attendants are derived from who actually holds housekeeping.edit in the property rather than a staff table (SCR-021 is not built); assigning work to anyone else is refused with 422. Every transition writes an append-only audit event (housekeeping.task.created/assigned/start/finish/pass/fail/cancelled) carrying actor, room, before and after state. Verified: 422 on a non-attendant, 409 on a second open task for the same room, 409 on an out-of-order transition.</t>
        </is>
      </c>
    </row>
    <row r="194" ht="78" customHeight="1" s="43">
      <c r="A194" s="11" t="n">
        <v>2</v>
      </c>
      <c r="B194" s="11" t="n">
        <v>190</v>
      </c>
      <c r="C194" s="12" t="inlineStr">
        <is>
          <t>US-014-01</t>
        </is>
      </c>
      <c r="D194" s="12" t="inlineStr">
        <is>
          <t>View and find information in Guest Services Hub</t>
        </is>
      </c>
      <c r="E194" s="12" t="inlineStr">
        <is>
          <t>EPIC-08</t>
        </is>
      </c>
      <c r="F194" s="12" t="inlineStr">
        <is>
          <t>Guest Services</t>
        </is>
      </c>
      <c r="G194" s="12" t="inlineStr">
        <is>
          <t>Service Desk</t>
        </is>
      </c>
      <c r="H194" s="11" t="inlineStr">
        <is>
          <t>SCR-014</t>
        </is>
      </c>
      <c r="I194" s="12" t="inlineStr">
        <is>
          <t>Guest Services Hub</t>
        </is>
      </c>
      <c r="J194" s="12" t="inlineStr">
        <is>
          <t>View / Search</t>
        </is>
      </c>
      <c r="K194" s="12" t="inlineStr">
        <is>
          <t>Guest Relations</t>
        </is>
      </c>
      <c r="L194" s="12" t="inlineStr">
        <is>
          <t>As a Guest Relations, I want to open Guest Services Hub and find relevant records using search, filters and sorting, so that I can make accurate operational decisions.</t>
        </is>
      </c>
      <c r="M194" s="12" t="inlineStr">
        <is>
          <t>Provides timely visibility for service desk and reduces manual lookup effort.</t>
        </is>
      </c>
      <c r="N194" s="12" t="inlineStr">
        <is>
          <t>Authenticated user; active property; view permission for Guest Services; Guests, Rooms, Workforce data available.</t>
        </is>
      </c>
      <c r="O194" s="12" t="inlineStr">
        <is>
          <t>Given I am authenticated as Guest Relations with access to the selected property, when I open Guest Services Hub,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94" s="12" t="inlineStr">
        <is>
          <t>Cross-property data never appears; unauthorized fields are masked; invalid filters do not break the screen; unavailable services return a controlled message.</t>
        </is>
      </c>
      <c r="Q194" s="12" t="inlineStr">
        <is>
          <t>Tenant/property scope; required fields; optimistic locking; timezone-safe dates; reason mandatory for overrides; valid status transition; linked-record integrity</t>
        </is>
      </c>
      <c r="R194" s="12" t="inlineStr">
        <is>
          <t>Guests, Rooms, Workforce</t>
        </is>
      </c>
      <c r="S194" s="12" t="inlineStr">
        <is>
          <t>GET, POST, PUT/PATCH, DELETE /api/v1/guest-services-hub; lookup, validation and audit endpoints; idempotency for financial/booking writes; entities: service_requests, service_tasks, guest_notes</t>
        </is>
      </c>
      <c r="T194" s="12" t="inlineStr">
        <is>
          <t>Should Have</t>
        </is>
      </c>
      <c r="U194" s="12" t="inlineStr">
        <is>
          <t>Release 1.1</t>
        </is>
      </c>
      <c r="V194" s="34" t="n">
        <v>3</v>
      </c>
      <c r="W194" s="12" t="inlineStr">
        <is>
          <t>S10-S11</t>
        </is>
      </c>
      <c r="X194" s="12" t="inlineStr">
        <is>
          <t>Backlog</t>
        </is>
      </c>
      <c r="Y194" s="13">
        <f>IF(X194="Done",1,IF(X194="QA",0.9,IF(X194="Code Review",0.75,IF(X194="In Development",0.5,IF(X194="Ready",0.1,0)))))</f>
        <v/>
      </c>
      <c r="Z194" s="12" t="n"/>
      <c r="AA194" s="12" t="inlineStr">
        <is>
          <t>TC-014-A</t>
        </is>
      </c>
      <c r="AB194" s="12" t="inlineStr">
        <is>
          <t>Approved screen design; story reviewed with Guest Relations; dependencies, API contract, role permissions and test data identified.</t>
        </is>
      </c>
      <c r="AC194" s="12" t="inlineStr">
        <is>
          <t>Code reviewed; unit, API, UI, RBAC and integration tests pass; accessibility and responsive states verified; audit evidence captured; product owner accepts in staging.</t>
        </is>
      </c>
      <c r="AD194" s="12" t="n"/>
    </row>
    <row r="195" ht="78" customHeight="1" s="43">
      <c r="A195" s="11" t="n">
        <v>2</v>
      </c>
      <c r="B195" s="11" t="n">
        <v>191</v>
      </c>
      <c r="C195" s="12" t="inlineStr">
        <is>
          <t>US-014-02</t>
        </is>
      </c>
      <c r="D195" s="12" t="inlineStr">
        <is>
          <t>Complete the primary Guest Services Hub workflow</t>
        </is>
      </c>
      <c r="E195" s="12" t="inlineStr">
        <is>
          <t>EPIC-08</t>
        </is>
      </c>
      <c r="F195" s="12" t="inlineStr">
        <is>
          <t>Guest Services</t>
        </is>
      </c>
      <c r="G195" s="12" t="inlineStr">
        <is>
          <t>Service Desk</t>
        </is>
      </c>
      <c r="H195" s="11" t="inlineStr">
        <is>
          <t>SCR-014</t>
        </is>
      </c>
      <c r="I195" s="12" t="inlineStr">
        <is>
          <t>Guest Services Hub</t>
        </is>
      </c>
      <c r="J195" s="12" t="inlineStr">
        <is>
          <t>Primary Workflow</t>
        </is>
      </c>
      <c r="K195" s="12" t="inlineStr">
        <is>
          <t>Guest Relations</t>
        </is>
      </c>
      <c r="L195" s="12" t="inlineStr">
        <is>
          <t>As a Guest Relations, I want to list, search, filter, view, create, edit, cancel/delete under policy, export in Guest Services Hub, so that the service desk process is completed accurately without duplicate or inconsistent records.</t>
        </is>
      </c>
      <c r="M195" s="12" t="inlineStr">
        <is>
          <t>Enable guest services users to manage service desk through the Guest Services Hub workflow with real-time status, validations and traceability.</t>
        </is>
      </c>
      <c r="N195" s="12" t="inlineStr">
        <is>
          <t>View access confirmed; required masters and linked records exist; Guests, Rooms, Workforce services are available; approval limit is valid.</t>
        </is>
      </c>
      <c r="O19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services hub workflow; invalid or conflicting actions are blocked with clear messages; saved changes appear in related screens; sensitive changes are auditable.</t>
        </is>
      </c>
      <c r="P195" s="12" t="inlineStr">
        <is>
          <t>Duplicate submission is idempotent; stale data returns a refresh/conflict message; invalid status transitions are blocked; partial failure rolls back without orphan records.</t>
        </is>
      </c>
      <c r="Q195" s="12" t="inlineStr">
        <is>
          <t>Tenant/property scope; required fields; optimistic locking; timezone-safe dates; reason mandatory for overrides; valid status transition; linked-record integrity</t>
        </is>
      </c>
      <c r="R195" s="12" t="inlineStr">
        <is>
          <t>Guests, Rooms, Workforce</t>
        </is>
      </c>
      <c r="S195" s="12" t="inlineStr">
        <is>
          <t>GET, POST, PUT/PATCH, DELETE /api/v1/guest-services-hub; lookup, validation and audit endpoints; idempotency for financial/booking writes; entities: service_requests, service_tasks, guest_notes</t>
        </is>
      </c>
      <c r="T195" s="12" t="inlineStr">
        <is>
          <t>Should Have</t>
        </is>
      </c>
      <c r="U195" s="12" t="inlineStr">
        <is>
          <t>Release 1.1</t>
        </is>
      </c>
      <c r="V195" s="34" t="n">
        <v>5</v>
      </c>
      <c r="W195" s="12" t="inlineStr">
        <is>
          <t>S10-S11</t>
        </is>
      </c>
      <c r="X195" s="12" t="inlineStr">
        <is>
          <t>Backlog</t>
        </is>
      </c>
      <c r="Y195" s="13">
        <f>IF(X195="Done",1,IF(X195="QA",0.9,IF(X195="Code Review",0.75,IF(X195="In Development",0.5,IF(X195="Ready",0.1,0)))))</f>
        <v/>
      </c>
      <c r="Z195" s="12" t="n"/>
      <c r="AA195" s="12" t="inlineStr">
        <is>
          <t>TC-014-B</t>
        </is>
      </c>
      <c r="AB195" s="12" t="inlineStr">
        <is>
          <t>Approved screen design; story reviewed with Guest Relations; dependencies, API contract, role permissions and test data identified.</t>
        </is>
      </c>
      <c r="AC195" s="12" t="inlineStr">
        <is>
          <t>Code reviewed; unit, API, UI, RBAC and integration tests pass; accessibility and responsive states verified; audit evidence captured; product owner accepts in staging.</t>
        </is>
      </c>
      <c r="AD195" s="12" t="n"/>
    </row>
    <row r="196" ht="78" customHeight="1" s="43">
      <c r="A196" s="11" t="n">
        <v>2</v>
      </c>
      <c r="B196" s="11" t="n">
        <v>192</v>
      </c>
      <c r="C196" s="12" t="inlineStr">
        <is>
          <t>US-014-03</t>
        </is>
      </c>
      <c r="D196" s="12" t="inlineStr">
        <is>
          <t>Control permissions, overrides and audit for Guest Services Hub</t>
        </is>
      </c>
      <c r="E196" s="12" t="inlineStr">
        <is>
          <t>EPIC-08</t>
        </is>
      </c>
      <c r="F196" s="12" t="inlineStr">
        <is>
          <t>Guest Services</t>
        </is>
      </c>
      <c r="G196" s="12" t="inlineStr">
        <is>
          <t>Service Desk</t>
        </is>
      </c>
      <c r="H196" s="11" t="inlineStr">
        <is>
          <t>SCR-014</t>
        </is>
      </c>
      <c r="I196" s="12" t="inlineStr">
        <is>
          <t>Guest Services Hub</t>
        </is>
      </c>
      <c r="J196" s="12" t="inlineStr">
        <is>
          <t>Security / Exceptions</t>
        </is>
      </c>
      <c r="K196" s="12" t="inlineStr">
        <is>
          <t>Guest Relations</t>
        </is>
      </c>
      <c r="L196" s="12" t="inlineStr">
        <is>
          <t>As a department supervisor or auditor, I want sensitive actions in Guest Services Hub to follow permissions, approval limits and audit rules, so that resort operations remain secure, compliant and traceable.</t>
        </is>
      </c>
      <c r="M196" s="12" t="inlineStr">
        <is>
          <t>Reduces fraud, privacy leakage, unauthorized overrides and unresolved operational disputes.</t>
        </is>
      </c>
      <c r="N196" s="12" t="inlineStr">
        <is>
          <t>Roles, permissions, approval hierarchy and audit service are configured; allowed and denied test users exist.</t>
        </is>
      </c>
      <c r="O19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96" s="12" t="inlineStr">
        <is>
          <t>Tampered IDs, expired sessions, approval-limit violations and cross-tenant requests are rejected; secrets and sensitive guest/payment fields are never written to logs.</t>
        </is>
      </c>
      <c r="Q196" s="12" t="inlineStr">
        <is>
          <t>Tenant/property scope; required fields; optimistic locking; timezone-safe dates; reason mandatory for overrides; valid status transition; linked-record integrity</t>
        </is>
      </c>
      <c r="R196" s="12" t="inlineStr">
        <is>
          <t>Guests, Rooms, Workforce</t>
        </is>
      </c>
      <c r="S196" s="12" t="inlineStr">
        <is>
          <t>GET, POST, PUT/PATCH, DELETE /api/v1/guest-services-hub; lookup, validation and audit endpoints; idempotency for financial/booking writes; entities: service_requests, service_tasks, guest_notes</t>
        </is>
      </c>
      <c r="T196" s="12" t="inlineStr">
        <is>
          <t>Should Have</t>
        </is>
      </c>
      <c r="U196" s="12" t="inlineStr">
        <is>
          <t>Release 1.1</t>
        </is>
      </c>
      <c r="V196" s="34" t="n">
        <v>3</v>
      </c>
      <c r="W196" s="12" t="inlineStr">
        <is>
          <t>S10-S11</t>
        </is>
      </c>
      <c r="X196" s="12" t="inlineStr">
        <is>
          <t>Backlog</t>
        </is>
      </c>
      <c r="Y196" s="13">
        <f>IF(X196="Done",1,IF(X196="QA",0.9,IF(X196="Code Review",0.75,IF(X196="In Development",0.5,IF(X196="Ready",0.1,0)))))</f>
        <v/>
      </c>
      <c r="Z196" s="12" t="n"/>
      <c r="AA196" s="12" t="inlineStr">
        <is>
          <t>TC-014-C</t>
        </is>
      </c>
      <c r="AB196" s="12" t="inlineStr">
        <is>
          <t>Approved screen design; story reviewed with Guest Relations; dependencies, API contract, role permissions and test data identified.</t>
        </is>
      </c>
      <c r="AC196" s="12" t="inlineStr">
        <is>
          <t>Code reviewed; unit, API, UI, RBAC and integration tests pass; accessibility and responsive states verified; audit evidence captured; product owner accepts in staging.</t>
        </is>
      </c>
      <c r="AD196" s="12" t="n"/>
    </row>
    <row r="197" ht="78" customHeight="1" s="43">
      <c r="A197" s="11" t="n">
        <v>2</v>
      </c>
      <c r="B197" s="11" t="n">
        <v>193</v>
      </c>
      <c r="C197" s="12" t="inlineStr">
        <is>
          <t>US-071-01</t>
        </is>
      </c>
      <c r="D197" s="12" t="inlineStr">
        <is>
          <t>View and find information in Create Housekeeping Task</t>
        </is>
      </c>
      <c r="E197" s="12" t="inlineStr">
        <is>
          <t>EPIC-04</t>
        </is>
      </c>
      <c r="F197" s="12" t="inlineStr">
        <is>
          <t>Housekeeping</t>
        </is>
      </c>
      <c r="G197" s="12" t="inlineStr">
        <is>
          <t>Task Management</t>
        </is>
      </c>
      <c r="H197" s="11" t="inlineStr">
        <is>
          <t>SCR-071</t>
        </is>
      </c>
      <c r="I197" s="12" t="inlineStr">
        <is>
          <t>Create Housekeeping Task</t>
        </is>
      </c>
      <c r="J197" s="12" t="inlineStr">
        <is>
          <t>View / Search</t>
        </is>
      </c>
      <c r="K197" s="12" t="inlineStr">
        <is>
          <t>Housekeeping Manager</t>
        </is>
      </c>
      <c r="L197" s="12" t="inlineStr">
        <is>
          <t>As a Housekeeping Manager, I want to open Create Housekeeping Task and find relevant records using search, filters and sorting, so that I can make accurate operational decisions.</t>
        </is>
      </c>
      <c r="M197" s="12" t="inlineStr">
        <is>
          <t>Provides timely visibility for task management and reduces manual lookup effort.</t>
        </is>
      </c>
      <c r="N197" s="12" t="inlineStr">
        <is>
          <t>Authenticated user; active property; view permission for Housekeeping; Rooms, Workforce, Inventory data available.</t>
        </is>
      </c>
      <c r="O197" s="12" t="inlineStr">
        <is>
          <t>Given I am authenticated as Housekeeping Manager with access to the selected property, when I open Create Housekeeping Task,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97" s="12" t="inlineStr">
        <is>
          <t>Cross-property data never appears; unauthorized fields are masked; invalid filters do not break the screen; unavailable services return a controlled message.</t>
        </is>
      </c>
      <c r="Q197" s="12" t="inlineStr">
        <is>
          <t>Tenant/property scope; required fields; optimistic locking; timezone-safe dates; reason mandatory for overrides; valid status transition; linked-record integrity</t>
        </is>
      </c>
      <c r="R197" s="12" t="inlineStr">
        <is>
          <t>Rooms, Workforce, Inventory</t>
        </is>
      </c>
      <c r="S197" s="12" t="inlineStr">
        <is>
          <t>GET, POST, PUT/PATCH, DELETE /api/v1/create-housekeeping-task; lookup, validation and audit endpoints; idempotency for financial/booking writes; entities: housekeeping_tasks, room_status_logs, lost_found, linen_movements, minibar_postings</t>
        </is>
      </c>
      <c r="T197" s="12" t="inlineStr">
        <is>
          <t>Should Have</t>
        </is>
      </c>
      <c r="U197" s="12" t="inlineStr">
        <is>
          <t>Release 1.1</t>
        </is>
      </c>
      <c r="V197" s="34" t="n">
        <v>3</v>
      </c>
      <c r="W197" s="12" t="inlineStr">
        <is>
          <t>S10-S11</t>
        </is>
      </c>
      <c r="X197" s="12" t="inlineStr">
        <is>
          <t>Backlog</t>
        </is>
      </c>
      <c r="Y197" s="13">
        <f>IF(X197="Done",1,IF(X197="QA",0.9,IF(X197="Code Review",0.75,IF(X197="In Development",0.5,IF(X197="Ready",0.1,0)))))</f>
        <v/>
      </c>
      <c r="Z197" s="12" t="n"/>
      <c r="AA197" s="12" t="inlineStr">
        <is>
          <t>TC-071-A</t>
        </is>
      </c>
      <c r="AB197" s="12" t="inlineStr">
        <is>
          <t>Approved screen design; story reviewed with Housekeeping Manager; dependencies, API contract, role permissions and test data identified.</t>
        </is>
      </c>
      <c r="AC197" s="12" t="inlineStr">
        <is>
          <t>Code reviewed; unit, API, UI, RBAC and integration tests pass; accessibility and responsive states verified; audit evidence captured; product owner accepts in staging.</t>
        </is>
      </c>
      <c r="AD197" s="12" t="n"/>
    </row>
    <row r="198" ht="78" customHeight="1" s="43">
      <c r="A198" s="11" t="n">
        <v>2</v>
      </c>
      <c r="B198" s="11" t="n">
        <v>194</v>
      </c>
      <c r="C198" s="12" t="inlineStr">
        <is>
          <t>US-071-02</t>
        </is>
      </c>
      <c r="D198" s="12" t="inlineStr">
        <is>
          <t>Complete the primary Create Housekeeping Task workflow</t>
        </is>
      </c>
      <c r="E198" s="12" t="inlineStr">
        <is>
          <t>EPIC-04</t>
        </is>
      </c>
      <c r="F198" s="12" t="inlineStr">
        <is>
          <t>Housekeeping</t>
        </is>
      </c>
      <c r="G198" s="12" t="inlineStr">
        <is>
          <t>Task Management</t>
        </is>
      </c>
      <c r="H198" s="11" t="inlineStr">
        <is>
          <t>SCR-071</t>
        </is>
      </c>
      <c r="I198" s="12" t="inlineStr">
        <is>
          <t>Create Housekeeping Task</t>
        </is>
      </c>
      <c r="J198" s="12" t="inlineStr">
        <is>
          <t>Primary Workflow</t>
        </is>
      </c>
      <c r="K198" s="12" t="inlineStr">
        <is>
          <t>Housekeeping Manager</t>
        </is>
      </c>
      <c r="L198" s="12" t="inlineStr">
        <is>
          <t>As a Housekeeping Manager, I want to list, view, create, edit, activate/deactivate, delete where safe in Create Housekeeping Task, so that the task management process is completed accurately without duplicate or inconsistent records.</t>
        </is>
      </c>
      <c r="M198" s="12" t="inlineStr">
        <is>
          <t>Enable housekeeping users to manage task management through the Create Housekeeping Task workflow with real-time status, validations and traceability.</t>
        </is>
      </c>
      <c r="N198" s="12" t="inlineStr">
        <is>
          <t>View access confirmed; required masters and linked records exist; Rooms, Workforce, Inventory services are available; approval limit is valid.</t>
        </is>
      </c>
      <c r="O19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housekeeping task workflow; invalid or conflicting actions are blocked with clear messages; saved changes appear in related screens; sensitive changes are auditable.</t>
        </is>
      </c>
      <c r="P198" s="12" t="inlineStr">
        <is>
          <t>Duplicate submission is idempotent; stale data returns a refresh/conflict message; invalid status transitions are blocked; partial failure rolls back without orphan records.</t>
        </is>
      </c>
      <c r="Q198" s="12" t="inlineStr">
        <is>
          <t>Tenant/property scope; required fields; optimistic locking; timezone-safe dates; reason mandatory for overrides; valid status transition; linked-record integrity</t>
        </is>
      </c>
      <c r="R198" s="12" t="inlineStr">
        <is>
          <t>Rooms, Workforce, Inventory</t>
        </is>
      </c>
      <c r="S198" s="12" t="inlineStr">
        <is>
          <t>GET, POST, PUT/PATCH, DELETE /api/v1/create-housekeeping-task; lookup, validation and audit endpoints; idempotency for financial/booking writes; entities: housekeeping_tasks, room_status_logs, lost_found, linen_movements, minibar_postings</t>
        </is>
      </c>
      <c r="T198" s="12" t="inlineStr">
        <is>
          <t>Should Have</t>
        </is>
      </c>
      <c r="U198" s="12" t="inlineStr">
        <is>
          <t>Release 1.1</t>
        </is>
      </c>
      <c r="V198" s="34" t="n">
        <v>5</v>
      </c>
      <c r="W198" s="12" t="inlineStr">
        <is>
          <t>S10-S11</t>
        </is>
      </c>
      <c r="X198" s="12" t="inlineStr">
        <is>
          <t>Backlog</t>
        </is>
      </c>
      <c r="Y198" s="13">
        <f>IF(X198="Done",1,IF(X198="QA",0.9,IF(X198="Code Review",0.75,IF(X198="In Development",0.5,IF(X198="Ready",0.1,0)))))</f>
        <v/>
      </c>
      <c r="Z198" s="12" t="n"/>
      <c r="AA198" s="12" t="inlineStr">
        <is>
          <t>TC-071-B</t>
        </is>
      </c>
      <c r="AB198" s="12" t="inlineStr">
        <is>
          <t>Approved screen design; story reviewed with Housekeeping Manager; dependencies, API contract, role permissions and test data identified.</t>
        </is>
      </c>
      <c r="AC198" s="12" t="inlineStr">
        <is>
          <t>Code reviewed; unit, API, UI, RBAC and integration tests pass; accessibility and responsive states verified; audit evidence captured; product owner accepts in staging.</t>
        </is>
      </c>
      <c r="AD198" s="12" t="n"/>
    </row>
    <row r="199" ht="78" customHeight="1" s="43">
      <c r="A199" s="11" t="n">
        <v>2</v>
      </c>
      <c r="B199" s="11" t="n">
        <v>195</v>
      </c>
      <c r="C199" s="12" t="inlineStr">
        <is>
          <t>US-071-03</t>
        </is>
      </c>
      <c r="D199" s="12" t="inlineStr">
        <is>
          <t>Control permissions, overrides and audit for Create Housekeeping Task</t>
        </is>
      </c>
      <c r="E199" s="12" t="inlineStr">
        <is>
          <t>EPIC-04</t>
        </is>
      </c>
      <c r="F199" s="12" t="inlineStr">
        <is>
          <t>Housekeeping</t>
        </is>
      </c>
      <c r="G199" s="12" t="inlineStr">
        <is>
          <t>Task Management</t>
        </is>
      </c>
      <c r="H199" s="11" t="inlineStr">
        <is>
          <t>SCR-071</t>
        </is>
      </c>
      <c r="I199" s="12" t="inlineStr">
        <is>
          <t>Create Housekeeping Task</t>
        </is>
      </c>
      <c r="J199" s="12" t="inlineStr">
        <is>
          <t>Security / Exceptions</t>
        </is>
      </c>
      <c r="K199" s="12" t="inlineStr">
        <is>
          <t>Housekeeping Manager</t>
        </is>
      </c>
      <c r="L199" s="12" t="inlineStr">
        <is>
          <t>As a department supervisor or auditor, I want sensitive actions in Create Housekeeping Task to follow permissions, approval limits and audit rules, so that resort operations remain secure, compliant and traceable.</t>
        </is>
      </c>
      <c r="M199" s="12" t="inlineStr">
        <is>
          <t>Reduces fraud, privacy leakage, unauthorized overrides and unresolved operational disputes.</t>
        </is>
      </c>
      <c r="N199" s="12" t="inlineStr">
        <is>
          <t>Roles, permissions, approval hierarchy and audit service are configured; allowed and denied test users exist.</t>
        </is>
      </c>
      <c r="O19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99" s="12" t="inlineStr">
        <is>
          <t>Tampered IDs, expired sessions, approval-limit violations and cross-tenant requests are rejected; secrets and sensitive guest/payment fields are never written to logs.</t>
        </is>
      </c>
      <c r="Q199" s="12" t="inlineStr">
        <is>
          <t>Tenant/property scope; required fields; optimistic locking; timezone-safe dates; reason mandatory for overrides; valid status transition; linked-record integrity</t>
        </is>
      </c>
      <c r="R199" s="12" t="inlineStr">
        <is>
          <t>Rooms, Workforce, Inventory</t>
        </is>
      </c>
      <c r="S199" s="12" t="inlineStr">
        <is>
          <t>GET, POST, PUT/PATCH, DELETE /api/v1/create-housekeeping-task; lookup, validation and audit endpoints; idempotency for financial/booking writes; entities: housekeeping_tasks, room_status_logs, lost_found, linen_movements, minibar_postings</t>
        </is>
      </c>
      <c r="T199" s="12" t="inlineStr">
        <is>
          <t>Should Have</t>
        </is>
      </c>
      <c r="U199" s="12" t="inlineStr">
        <is>
          <t>Release 1.1</t>
        </is>
      </c>
      <c r="V199" s="34" t="n">
        <v>3</v>
      </c>
      <c r="W199" s="12" t="inlineStr">
        <is>
          <t>S10-S11</t>
        </is>
      </c>
      <c r="X199" s="12" t="inlineStr">
        <is>
          <t>Backlog</t>
        </is>
      </c>
      <c r="Y199" s="13">
        <f>IF(X199="Done",1,IF(X199="QA",0.9,IF(X199="Code Review",0.75,IF(X199="In Development",0.5,IF(X199="Ready",0.1,0)))))</f>
        <v/>
      </c>
      <c r="Z199" s="12" t="n"/>
      <c r="AA199" s="12" t="inlineStr">
        <is>
          <t>TC-071-C</t>
        </is>
      </c>
      <c r="AB199" s="12" t="inlineStr">
        <is>
          <t>Approved screen design; story reviewed with Housekeeping Manager; dependencies, API contract, role permissions and test data identified.</t>
        </is>
      </c>
      <c r="AC199" s="12" t="inlineStr">
        <is>
          <t>Code reviewed; unit, API, UI, RBAC and integration tests pass; accessibility and responsive states verified; audit evidence captured; product owner accepts in staging.</t>
        </is>
      </c>
      <c r="AD199" s="12" t="n"/>
    </row>
    <row r="200" ht="78" customHeight="1" s="43">
      <c r="A200" s="11" t="n">
        <v>2</v>
      </c>
      <c r="B200" s="11" t="n">
        <v>196</v>
      </c>
      <c r="C200" s="12" t="inlineStr">
        <is>
          <t>US-072-01</t>
        </is>
      </c>
      <c r="D200" s="12" t="inlineStr">
        <is>
          <t>View and find information in Housekeeping Task Details and Edit</t>
        </is>
      </c>
      <c r="E200" s="12" t="inlineStr">
        <is>
          <t>EPIC-04</t>
        </is>
      </c>
      <c r="F200" s="12" t="inlineStr">
        <is>
          <t>Housekeeping</t>
        </is>
      </c>
      <c r="G200" s="12" t="inlineStr">
        <is>
          <t>Task Management</t>
        </is>
      </c>
      <c r="H200" s="11" t="inlineStr">
        <is>
          <t>SCR-072</t>
        </is>
      </c>
      <c r="I200" s="12" t="inlineStr">
        <is>
          <t>Housekeeping Task Details and Edit</t>
        </is>
      </c>
      <c r="J200" s="12" t="inlineStr">
        <is>
          <t>View / Search</t>
        </is>
      </c>
      <c r="K200" s="12" t="inlineStr">
        <is>
          <t>Housekeeping Manager</t>
        </is>
      </c>
      <c r="L200" s="12" t="inlineStr">
        <is>
          <t>As a Housekeeping Manager, I want to open Housekeeping Task Details and Edit and find relevant records using search, filters and sorting, so that I can make accurate operational decisions.</t>
        </is>
      </c>
      <c r="M200" s="12" t="inlineStr">
        <is>
          <t>Provides timely visibility for task management and reduces manual lookup effort.</t>
        </is>
      </c>
      <c r="N200" s="12" t="inlineStr">
        <is>
          <t>Authenticated user; active property; view permission for Housekeeping; Rooms, Workforce, Inventory data available.</t>
        </is>
      </c>
      <c r="O200" s="12" t="inlineStr">
        <is>
          <t>Given I am authenticated as Housekeeping Manager with access to the selected property, when I open Housekeeping Task Details and Edit,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00" s="12" t="inlineStr">
        <is>
          <t>Cross-property data never appears; unauthorized fields are masked; invalid filters do not break the screen; unavailable services return a controlled message.</t>
        </is>
      </c>
      <c r="Q200" s="12" t="inlineStr">
        <is>
          <t>Tenant/property scope; required fields; optimistic locking; timezone-safe dates; reason mandatory for overrides; valid status transition; linked-record integrity</t>
        </is>
      </c>
      <c r="R200" s="12" t="inlineStr">
        <is>
          <t>Rooms, Workforce, Inventory</t>
        </is>
      </c>
      <c r="S200" s="12" t="inlineStr">
        <is>
          <t>GET, POST, PUT/PATCH, DELETE /api/v1/housekeeping-task-details-and-edit; lookup, validation and audit endpoints; idempotency for financial/booking writes; entities: housekeeping_tasks, room_status_logs, lost_found, linen_movements, minibar_postings</t>
        </is>
      </c>
      <c r="T200" s="12" t="inlineStr">
        <is>
          <t>Should Have</t>
        </is>
      </c>
      <c r="U200" s="12" t="inlineStr">
        <is>
          <t>Release 1.1</t>
        </is>
      </c>
      <c r="V200" s="34" t="n">
        <v>3</v>
      </c>
      <c r="W200" s="12" t="inlineStr">
        <is>
          <t>S10-S11</t>
        </is>
      </c>
      <c r="X200" s="12" t="inlineStr">
        <is>
          <t>Backlog</t>
        </is>
      </c>
      <c r="Y200" s="13">
        <f>IF(X200="Done",1,IF(X200="QA",0.9,IF(X200="Code Review",0.75,IF(X200="In Development",0.5,IF(X200="Ready",0.1,0)))))</f>
        <v/>
      </c>
      <c r="Z200" s="12" t="n"/>
      <c r="AA200" s="12" t="inlineStr">
        <is>
          <t>TC-072-A</t>
        </is>
      </c>
      <c r="AB200" s="12" t="inlineStr">
        <is>
          <t>Approved screen design; story reviewed with Housekeeping Manager; dependencies, API contract, role permissions and test data identified.</t>
        </is>
      </c>
      <c r="AC200" s="12" t="inlineStr">
        <is>
          <t>Code reviewed; unit, API, UI, RBAC and integration tests pass; accessibility and responsive states verified; audit evidence captured; product owner accepts in staging.</t>
        </is>
      </c>
      <c r="AD200" s="12" t="n"/>
    </row>
    <row r="201" ht="78" customHeight="1" s="43">
      <c r="A201" s="11" t="n">
        <v>2</v>
      </c>
      <c r="B201" s="11" t="n">
        <v>197</v>
      </c>
      <c r="C201" s="12" t="inlineStr">
        <is>
          <t>US-072-02</t>
        </is>
      </c>
      <c r="D201" s="12" t="inlineStr">
        <is>
          <t>Complete the primary Housekeeping Task Details and Edit workflow</t>
        </is>
      </c>
      <c r="E201" s="12" t="inlineStr">
        <is>
          <t>EPIC-04</t>
        </is>
      </c>
      <c r="F201" s="12" t="inlineStr">
        <is>
          <t>Housekeeping</t>
        </is>
      </c>
      <c r="G201" s="12" t="inlineStr">
        <is>
          <t>Task Management</t>
        </is>
      </c>
      <c r="H201" s="11" t="inlineStr">
        <is>
          <t>SCR-072</t>
        </is>
      </c>
      <c r="I201" s="12" t="inlineStr">
        <is>
          <t>Housekeeping Task Details and Edit</t>
        </is>
      </c>
      <c r="J201" s="12" t="inlineStr">
        <is>
          <t>Primary Workflow</t>
        </is>
      </c>
      <c r="K201" s="12" t="inlineStr">
        <is>
          <t>Housekeeping Manager</t>
        </is>
      </c>
      <c r="L201" s="12" t="inlineStr">
        <is>
          <t>As a Housekeeping Manager, I want to list, search, filter, view, create, edit, cancel/delete under policy, export in Housekeeping Task Details and Edit, so that the task management process is completed accurately without duplicate or inconsistent records.</t>
        </is>
      </c>
      <c r="M201" s="12" t="inlineStr">
        <is>
          <t>Enable housekeeping users to manage task management through the Housekeeping Task Details and Edit workflow with real-time status, validations and traceability.</t>
        </is>
      </c>
      <c r="N201" s="12" t="inlineStr">
        <is>
          <t>View access confirmed; required masters and linked records exist; Rooms, Workforce, Inventory services are available; approval limit is valid.</t>
        </is>
      </c>
      <c r="O20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housekeeping task details and edit workflow; invalid or conflicting actions are blocked with clear messages; saved changes appear in related screens; sensitive changes are auditable.</t>
        </is>
      </c>
      <c r="P201" s="12" t="inlineStr">
        <is>
          <t>Duplicate submission is idempotent; stale data returns a refresh/conflict message; invalid status transitions are blocked; partial failure rolls back without orphan records.</t>
        </is>
      </c>
      <c r="Q201" s="12" t="inlineStr">
        <is>
          <t>Tenant/property scope; required fields; optimistic locking; timezone-safe dates; reason mandatory for overrides; valid status transition; linked-record integrity</t>
        </is>
      </c>
      <c r="R201" s="12" t="inlineStr">
        <is>
          <t>Rooms, Workforce, Inventory</t>
        </is>
      </c>
      <c r="S201" s="12" t="inlineStr">
        <is>
          <t>GET, POST, PUT/PATCH, DELETE /api/v1/housekeeping-task-details-and-edit; lookup, validation and audit endpoints; idempotency for financial/booking writes; entities: housekeeping_tasks, room_status_logs, lost_found, linen_movements, minibar_postings</t>
        </is>
      </c>
      <c r="T201" s="12" t="inlineStr">
        <is>
          <t>Should Have</t>
        </is>
      </c>
      <c r="U201" s="12" t="inlineStr">
        <is>
          <t>Release 1.1</t>
        </is>
      </c>
      <c r="V201" s="34" t="n">
        <v>5</v>
      </c>
      <c r="W201" s="12" t="inlineStr">
        <is>
          <t>S10-S11</t>
        </is>
      </c>
      <c r="X201" s="12" t="inlineStr">
        <is>
          <t>Backlog</t>
        </is>
      </c>
      <c r="Y201" s="13">
        <f>IF(X201="Done",1,IF(X201="QA",0.9,IF(X201="Code Review",0.75,IF(X201="In Development",0.5,IF(X201="Ready",0.1,0)))))</f>
        <v/>
      </c>
      <c r="Z201" s="12" t="n"/>
      <c r="AA201" s="12" t="inlineStr">
        <is>
          <t>TC-072-B</t>
        </is>
      </c>
      <c r="AB201" s="12" t="inlineStr">
        <is>
          <t>Approved screen design; story reviewed with Housekeeping Manager; dependencies, API contract, role permissions and test data identified.</t>
        </is>
      </c>
      <c r="AC201" s="12" t="inlineStr">
        <is>
          <t>Code reviewed; unit, API, UI, RBAC and integration tests pass; accessibility and responsive states verified; audit evidence captured; product owner accepts in staging.</t>
        </is>
      </c>
      <c r="AD201" s="12" t="n"/>
    </row>
    <row r="202" ht="78" customHeight="1" s="43">
      <c r="A202" s="11" t="n">
        <v>2</v>
      </c>
      <c r="B202" s="11" t="n">
        <v>198</v>
      </c>
      <c r="C202" s="12" t="inlineStr">
        <is>
          <t>US-072-03</t>
        </is>
      </c>
      <c r="D202" s="12" t="inlineStr">
        <is>
          <t>Control permissions, overrides and audit for Housekeeping Task Details and Edit</t>
        </is>
      </c>
      <c r="E202" s="12" t="inlineStr">
        <is>
          <t>EPIC-04</t>
        </is>
      </c>
      <c r="F202" s="12" t="inlineStr">
        <is>
          <t>Housekeeping</t>
        </is>
      </c>
      <c r="G202" s="12" t="inlineStr">
        <is>
          <t>Task Management</t>
        </is>
      </c>
      <c r="H202" s="11" t="inlineStr">
        <is>
          <t>SCR-072</t>
        </is>
      </c>
      <c r="I202" s="12" t="inlineStr">
        <is>
          <t>Housekeeping Task Details and Edit</t>
        </is>
      </c>
      <c r="J202" s="12" t="inlineStr">
        <is>
          <t>Security / Exceptions</t>
        </is>
      </c>
      <c r="K202" s="12" t="inlineStr">
        <is>
          <t>Housekeeping Manager</t>
        </is>
      </c>
      <c r="L202" s="12" t="inlineStr">
        <is>
          <t>As a department supervisor or auditor, I want sensitive actions in Housekeeping Task Details and Edit to follow permissions, approval limits and audit rules, so that resort operations remain secure, compliant and traceable.</t>
        </is>
      </c>
      <c r="M202" s="12" t="inlineStr">
        <is>
          <t>Reduces fraud, privacy leakage, unauthorized overrides and unresolved operational disputes.</t>
        </is>
      </c>
      <c r="N202" s="12" t="inlineStr">
        <is>
          <t>Roles, permissions, approval hierarchy and audit service are configured; allowed and denied test users exist.</t>
        </is>
      </c>
      <c r="O20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02" s="12" t="inlineStr">
        <is>
          <t>Tampered IDs, expired sessions, approval-limit violations and cross-tenant requests are rejected; secrets and sensitive guest/payment fields are never written to logs.</t>
        </is>
      </c>
      <c r="Q202" s="12" t="inlineStr">
        <is>
          <t>Tenant/property scope; required fields; optimistic locking; timezone-safe dates; reason mandatory for overrides; valid status transition; linked-record integrity</t>
        </is>
      </c>
      <c r="R202" s="12" t="inlineStr">
        <is>
          <t>Rooms, Workforce, Inventory</t>
        </is>
      </c>
      <c r="S202" s="12" t="inlineStr">
        <is>
          <t>GET, POST, PUT/PATCH, DELETE /api/v1/housekeeping-task-details-and-edit; lookup, validation and audit endpoints; idempotency for financial/booking writes; entities: housekeeping_tasks, room_status_logs, lost_found, linen_movements, minibar_postings</t>
        </is>
      </c>
      <c r="T202" s="12" t="inlineStr">
        <is>
          <t>Should Have</t>
        </is>
      </c>
      <c r="U202" s="12" t="inlineStr">
        <is>
          <t>Release 1.1</t>
        </is>
      </c>
      <c r="V202" s="34" t="n">
        <v>3</v>
      </c>
      <c r="W202" s="12" t="inlineStr">
        <is>
          <t>S10-S11</t>
        </is>
      </c>
      <c r="X202" s="12" t="inlineStr">
        <is>
          <t>Backlog</t>
        </is>
      </c>
      <c r="Y202" s="13">
        <f>IF(X202="Done",1,IF(X202="QA",0.9,IF(X202="Code Review",0.75,IF(X202="In Development",0.5,IF(X202="Ready",0.1,0)))))</f>
        <v/>
      </c>
      <c r="Z202" s="12" t="n"/>
      <c r="AA202" s="12" t="inlineStr">
        <is>
          <t>TC-072-C</t>
        </is>
      </c>
      <c r="AB202" s="12" t="inlineStr">
        <is>
          <t>Approved screen design; story reviewed with Housekeeping Manager; dependencies, API contract, role permissions and test data identified.</t>
        </is>
      </c>
      <c r="AC202" s="12" t="inlineStr">
        <is>
          <t>Code reviewed; unit, API, UI, RBAC and integration tests pass; accessibility and responsive states verified; audit evidence captured; product owner accepts in staging.</t>
        </is>
      </c>
      <c r="AD202" s="12" t="n"/>
    </row>
    <row r="203" ht="78" customHeight="1" s="43">
      <c r="A203" s="11" t="n">
        <v>2</v>
      </c>
      <c r="B203" s="11" t="n">
        <v>199</v>
      </c>
      <c r="C203" s="12" t="inlineStr">
        <is>
          <t>US-073-01</t>
        </is>
      </c>
      <c r="D203" s="12" t="inlineStr">
        <is>
          <t>View and find information in Bulk Room Status Update</t>
        </is>
      </c>
      <c r="E203" s="12" t="inlineStr">
        <is>
          <t>EPIC-04</t>
        </is>
      </c>
      <c r="F203" s="12" t="inlineStr">
        <is>
          <t>Housekeeping</t>
        </is>
      </c>
      <c r="G203" s="12" t="inlineStr">
        <is>
          <t>Room Status</t>
        </is>
      </c>
      <c r="H203" s="11" t="inlineStr">
        <is>
          <t>SCR-073</t>
        </is>
      </c>
      <c r="I203" s="12" t="inlineStr">
        <is>
          <t>Bulk Room Status Update</t>
        </is>
      </c>
      <c r="J203" s="12" t="inlineStr">
        <is>
          <t>View / Search</t>
        </is>
      </c>
      <c r="K203" s="12" t="inlineStr">
        <is>
          <t>Housekeeping Manager</t>
        </is>
      </c>
      <c r="L203" s="12" t="inlineStr">
        <is>
          <t>As a Housekeeping Manager, I want to open Bulk Room Status Update and find relevant records using search, filters and sorting, so that I can make accurate operational decisions.</t>
        </is>
      </c>
      <c r="M203" s="12" t="inlineStr">
        <is>
          <t>Provides timely visibility for room status and reduces manual lookup effort.</t>
        </is>
      </c>
      <c r="N203" s="12" t="inlineStr">
        <is>
          <t>Authenticated user; active property; view permission for Housekeeping; Rooms, Workforce, Inventory data available.</t>
        </is>
      </c>
      <c r="O203" s="12" t="inlineStr">
        <is>
          <t>Given I am authenticated as Housekeeping Manager with access to the selected property, when I open Bulk Room Status Update,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03" s="12" t="inlineStr">
        <is>
          <t>Cross-property data never appears; unauthorized fields are masked; invalid filters do not break the screen; unavailable services return a controlled message.</t>
        </is>
      </c>
      <c r="Q203" s="12" t="inlineStr">
        <is>
          <t>Tenant/property scope; required fields; optimistic locking; timezone-safe dates; reason mandatory for overrides; valid status transition; linked-record integrity</t>
        </is>
      </c>
      <c r="R203" s="12" t="inlineStr">
        <is>
          <t>Rooms, Workforce, Inventory</t>
        </is>
      </c>
      <c r="S203" s="12" t="inlineStr">
        <is>
          <t>GET, POST, PUT/PATCH, DELETE /api/v1/bulk-room-status-update; lookup, validation and audit endpoints; idempotency for financial/booking writes; entities: housekeeping_tasks, room_status_logs, lost_found, linen_movements, minibar_postings</t>
        </is>
      </c>
      <c r="T203" s="12" t="inlineStr">
        <is>
          <t>Should Have</t>
        </is>
      </c>
      <c r="U203" s="12" t="inlineStr">
        <is>
          <t>Release 1.1</t>
        </is>
      </c>
      <c r="V203" s="34" t="n">
        <v>3</v>
      </c>
      <c r="W203" s="12" t="inlineStr">
        <is>
          <t>S10-S11</t>
        </is>
      </c>
      <c r="X203" s="12" t="inlineStr">
        <is>
          <t>Backlog</t>
        </is>
      </c>
      <c r="Y203" s="13">
        <f>IF(X203="Done",1,IF(X203="QA",0.9,IF(X203="Code Review",0.75,IF(X203="In Development",0.5,IF(X203="Ready",0.1,0)))))</f>
        <v/>
      </c>
      <c r="Z203" s="12" t="n"/>
      <c r="AA203" s="12" t="inlineStr">
        <is>
          <t>TC-073-A</t>
        </is>
      </c>
      <c r="AB203" s="12" t="inlineStr">
        <is>
          <t>Approved screen design; story reviewed with Housekeeping Manager; dependencies, API contract, role permissions and test data identified.</t>
        </is>
      </c>
      <c r="AC203" s="12" t="inlineStr">
        <is>
          <t>Code reviewed; unit, API, UI, RBAC and integration tests pass; accessibility and responsive states verified; audit evidence captured; product owner accepts in staging.</t>
        </is>
      </c>
      <c r="AD203" s="12" t="n"/>
    </row>
    <row r="204" ht="78" customHeight="1" s="43">
      <c r="A204" s="11" t="n">
        <v>2</v>
      </c>
      <c r="B204" s="11" t="n">
        <v>200</v>
      </c>
      <c r="C204" s="12" t="inlineStr">
        <is>
          <t>US-073-02</t>
        </is>
      </c>
      <c r="D204" s="12" t="inlineStr">
        <is>
          <t>Complete the primary Bulk Room Status Update workflow</t>
        </is>
      </c>
      <c r="E204" s="12" t="inlineStr">
        <is>
          <t>EPIC-04</t>
        </is>
      </c>
      <c r="F204" s="12" t="inlineStr">
        <is>
          <t>Housekeeping</t>
        </is>
      </c>
      <c r="G204" s="12" t="inlineStr">
        <is>
          <t>Room Status</t>
        </is>
      </c>
      <c r="H204" s="11" t="inlineStr">
        <is>
          <t>SCR-073</t>
        </is>
      </c>
      <c r="I204" s="12" t="inlineStr">
        <is>
          <t>Bulk Room Status Update</t>
        </is>
      </c>
      <c r="J204" s="12" t="inlineStr">
        <is>
          <t>Primary Workflow</t>
        </is>
      </c>
      <c r="K204" s="12" t="inlineStr">
        <is>
          <t>Housekeeping Manager</t>
        </is>
      </c>
      <c r="L204" s="12" t="inlineStr">
        <is>
          <t>As a Housekeeping Manager, I want to list, search, filter, view, create, edit, cancel/delete under policy, export in Bulk Room Status Update, so that the room status process is completed accurately without duplicate or inconsistent records.</t>
        </is>
      </c>
      <c r="M204" s="12" t="inlineStr">
        <is>
          <t>Enable housekeeping users to manage room status through the Bulk Room Status Update workflow with real-time status, validations and traceability.</t>
        </is>
      </c>
      <c r="N204" s="12" t="inlineStr">
        <is>
          <t>View access confirmed; required masters and linked records exist; Rooms, Workforce, Inventory services are available; approval limit is valid.</t>
        </is>
      </c>
      <c r="O20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bulk room status update workflow; invalid or conflicting actions are blocked with clear messages; saved changes appear in related screens; sensitive changes are auditable.</t>
        </is>
      </c>
      <c r="P204" s="12" t="inlineStr">
        <is>
          <t>Duplicate submission is idempotent; stale data returns a refresh/conflict message; invalid status transitions are blocked; partial failure rolls back without orphan records.</t>
        </is>
      </c>
      <c r="Q204" s="12" t="inlineStr">
        <is>
          <t>Tenant/property scope; required fields; optimistic locking; timezone-safe dates; reason mandatory for overrides; valid status transition; linked-record integrity</t>
        </is>
      </c>
      <c r="R204" s="12" t="inlineStr">
        <is>
          <t>Rooms, Workforce, Inventory</t>
        </is>
      </c>
      <c r="S204" s="12" t="inlineStr">
        <is>
          <t>GET, POST, PUT/PATCH, DELETE /api/v1/bulk-room-status-update; lookup, validation and audit endpoints; idempotency for financial/booking writes; entities: housekeeping_tasks, room_status_logs, lost_found, linen_movements, minibar_postings</t>
        </is>
      </c>
      <c r="T204" s="12" t="inlineStr">
        <is>
          <t>Should Have</t>
        </is>
      </c>
      <c r="U204" s="12" t="inlineStr">
        <is>
          <t>Release 1.1</t>
        </is>
      </c>
      <c r="V204" s="34" t="n">
        <v>5</v>
      </c>
      <c r="W204" s="12" t="inlineStr">
        <is>
          <t>S10-S11</t>
        </is>
      </c>
      <c r="X204" s="12" t="inlineStr">
        <is>
          <t>Backlog</t>
        </is>
      </c>
      <c r="Y204" s="13">
        <f>IF(X204="Done",1,IF(X204="QA",0.9,IF(X204="Code Review",0.75,IF(X204="In Development",0.5,IF(X204="Ready",0.1,0)))))</f>
        <v/>
      </c>
      <c r="Z204" s="12" t="n"/>
      <c r="AA204" s="12" t="inlineStr">
        <is>
          <t>TC-073-B</t>
        </is>
      </c>
      <c r="AB204" s="12" t="inlineStr">
        <is>
          <t>Approved screen design; story reviewed with Housekeeping Manager; dependencies, API contract, role permissions and test data identified.</t>
        </is>
      </c>
      <c r="AC204" s="12" t="inlineStr">
        <is>
          <t>Code reviewed; unit, API, UI, RBAC and integration tests pass; accessibility and responsive states verified; audit evidence captured; product owner accepts in staging.</t>
        </is>
      </c>
      <c r="AD204" s="12" t="n"/>
    </row>
    <row r="205" ht="78" customHeight="1" s="43">
      <c r="A205" s="11" t="n">
        <v>2</v>
      </c>
      <c r="B205" s="11" t="n">
        <v>201</v>
      </c>
      <c r="C205" s="12" t="inlineStr">
        <is>
          <t>US-073-03</t>
        </is>
      </c>
      <c r="D205" s="12" t="inlineStr">
        <is>
          <t>Control permissions, overrides and audit for Bulk Room Status Update</t>
        </is>
      </c>
      <c r="E205" s="12" t="inlineStr">
        <is>
          <t>EPIC-04</t>
        </is>
      </c>
      <c r="F205" s="12" t="inlineStr">
        <is>
          <t>Housekeeping</t>
        </is>
      </c>
      <c r="G205" s="12" t="inlineStr">
        <is>
          <t>Room Status</t>
        </is>
      </c>
      <c r="H205" s="11" t="inlineStr">
        <is>
          <t>SCR-073</t>
        </is>
      </c>
      <c r="I205" s="12" t="inlineStr">
        <is>
          <t>Bulk Room Status Update</t>
        </is>
      </c>
      <c r="J205" s="12" t="inlineStr">
        <is>
          <t>Security / Exceptions</t>
        </is>
      </c>
      <c r="K205" s="12" t="inlineStr">
        <is>
          <t>Housekeeping Manager</t>
        </is>
      </c>
      <c r="L205" s="12" t="inlineStr">
        <is>
          <t>As a department supervisor or auditor, I want sensitive actions in Bulk Room Status Update to follow permissions, approval limits and audit rules, so that resort operations remain secure, compliant and traceable.</t>
        </is>
      </c>
      <c r="M205" s="12" t="inlineStr">
        <is>
          <t>Reduces fraud, privacy leakage, unauthorized overrides and unresolved operational disputes.</t>
        </is>
      </c>
      <c r="N205" s="12" t="inlineStr">
        <is>
          <t>Roles, permissions, approval hierarchy and audit service are configured; allowed and denied test users exist.</t>
        </is>
      </c>
      <c r="O20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05" s="12" t="inlineStr">
        <is>
          <t>Tampered IDs, expired sessions, approval-limit violations and cross-tenant requests are rejected; secrets and sensitive guest/payment fields are never written to logs.</t>
        </is>
      </c>
      <c r="Q205" s="12" t="inlineStr">
        <is>
          <t>Tenant/property scope; required fields; optimistic locking; timezone-safe dates; reason mandatory for overrides; valid status transition; linked-record integrity</t>
        </is>
      </c>
      <c r="R205" s="12" t="inlineStr">
        <is>
          <t>Rooms, Workforce, Inventory</t>
        </is>
      </c>
      <c r="S205" s="12" t="inlineStr">
        <is>
          <t>GET, POST, PUT/PATCH, DELETE /api/v1/bulk-room-status-update; lookup, validation and audit endpoints; idempotency for financial/booking writes; entities: housekeeping_tasks, room_status_logs, lost_found, linen_movements, minibar_postings</t>
        </is>
      </c>
      <c r="T205" s="12" t="inlineStr">
        <is>
          <t>Should Have</t>
        </is>
      </c>
      <c r="U205" s="12" t="inlineStr">
        <is>
          <t>Release 1.1</t>
        </is>
      </c>
      <c r="V205" s="34" t="n">
        <v>3</v>
      </c>
      <c r="W205" s="12" t="inlineStr">
        <is>
          <t>S10-S11</t>
        </is>
      </c>
      <c r="X205" s="12" t="inlineStr">
        <is>
          <t>Backlog</t>
        </is>
      </c>
      <c r="Y205" s="13">
        <f>IF(X205="Done",1,IF(X205="QA",0.9,IF(X205="Code Review",0.75,IF(X205="In Development",0.5,IF(X205="Ready",0.1,0)))))</f>
        <v/>
      </c>
      <c r="Z205" s="12" t="n"/>
      <c r="AA205" s="12" t="inlineStr">
        <is>
          <t>TC-073-C</t>
        </is>
      </c>
      <c r="AB205" s="12" t="inlineStr">
        <is>
          <t>Approved screen design; story reviewed with Housekeeping Manager; dependencies, API contract, role permissions and test data identified.</t>
        </is>
      </c>
      <c r="AC205" s="12" t="inlineStr">
        <is>
          <t>Code reviewed; unit, API, UI, RBAC and integration tests pass; accessibility and responsive states verified; audit evidence captured; product owner accepts in staging.</t>
        </is>
      </c>
      <c r="AD205" s="12" t="n"/>
    </row>
    <row r="206" ht="78" customHeight="1" s="43">
      <c r="A206" s="11" t="n">
        <v>2</v>
      </c>
      <c r="B206" s="11" t="n">
        <v>202</v>
      </c>
      <c r="C206" s="12" t="inlineStr">
        <is>
          <t>US-074-01</t>
        </is>
      </c>
      <c r="D206" s="12" t="inlineStr">
        <is>
          <t>View and find information in Lost and Found</t>
        </is>
      </c>
      <c r="E206" s="12" t="inlineStr">
        <is>
          <t>EPIC-04</t>
        </is>
      </c>
      <c r="F206" s="12" t="inlineStr">
        <is>
          <t>Housekeeping</t>
        </is>
      </c>
      <c r="G206" s="12" t="inlineStr">
        <is>
          <t>Lost Property</t>
        </is>
      </c>
      <c r="H206" s="11" t="inlineStr">
        <is>
          <t>SCR-074</t>
        </is>
      </c>
      <c r="I206" s="12" t="inlineStr">
        <is>
          <t>Lost and Found</t>
        </is>
      </c>
      <c r="J206" s="12" t="inlineStr">
        <is>
          <t>View / Search</t>
        </is>
      </c>
      <c r="K206" s="12" t="inlineStr">
        <is>
          <t>Housekeeping Manager</t>
        </is>
      </c>
      <c r="L206" s="12" t="inlineStr">
        <is>
          <t>As a Housekeeping Manager, I want to open Lost and Found and find relevant records using search, filters and sorting, so that I can make accurate operational decisions.</t>
        </is>
      </c>
      <c r="M206" s="12" t="inlineStr">
        <is>
          <t>Provides timely visibility for lost property and reduces manual lookup effort.</t>
        </is>
      </c>
      <c r="N206" s="12" t="inlineStr">
        <is>
          <t>Authenticated user; active property; view permission for Housekeeping; Rooms, Workforce, Inventory data available.</t>
        </is>
      </c>
      <c r="O206" s="12" t="inlineStr">
        <is>
          <t>Given I am authenticated as Housekeeping Manager with access to the selected property, when I open Lost and Found,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06" s="12" t="inlineStr">
        <is>
          <t>Cross-property data never appears; unauthorized fields are masked; invalid filters do not break the screen; unavailable services return a controlled message.</t>
        </is>
      </c>
      <c r="Q206" s="12" t="inlineStr">
        <is>
          <t>Tenant/property scope; required fields; optimistic locking; timezone-safe dates; reason mandatory for overrides; valid status transition; linked-record integrity</t>
        </is>
      </c>
      <c r="R206" s="12" t="inlineStr">
        <is>
          <t>Rooms, Workforce, Inventory</t>
        </is>
      </c>
      <c r="S206" s="12" t="inlineStr">
        <is>
          <t>GET, POST, PUT/PATCH, DELETE /api/v1/lost-and-found; lookup, validation and audit endpoints; idempotency for financial/booking writes; entities: housekeeping_tasks, room_status_logs, lost_found, linen_movements, minibar_postings</t>
        </is>
      </c>
      <c r="T206" s="12" t="inlineStr">
        <is>
          <t>Should Have</t>
        </is>
      </c>
      <c r="U206" s="12" t="inlineStr">
        <is>
          <t>Release 1.1</t>
        </is>
      </c>
      <c r="V206" s="34" t="n">
        <v>3</v>
      </c>
      <c r="W206" s="12" t="inlineStr">
        <is>
          <t>S10-S11</t>
        </is>
      </c>
      <c r="X206" s="12" t="inlineStr">
        <is>
          <t>Backlog</t>
        </is>
      </c>
      <c r="Y206" s="13">
        <f>IF(X206="Done",1,IF(X206="QA",0.9,IF(X206="Code Review",0.75,IF(X206="In Development",0.5,IF(X206="Ready",0.1,0)))))</f>
        <v/>
      </c>
      <c r="Z206" s="12" t="n"/>
      <c r="AA206" s="12" t="inlineStr">
        <is>
          <t>TC-074-A</t>
        </is>
      </c>
      <c r="AB206" s="12" t="inlineStr">
        <is>
          <t>Approved screen design; story reviewed with Housekeeping Manager; dependencies, API contract, role permissions and test data identified.</t>
        </is>
      </c>
      <c r="AC206" s="12" t="inlineStr">
        <is>
          <t>Code reviewed; unit, API, UI, RBAC and integration tests pass; accessibility and responsive states verified; audit evidence captured; product owner accepts in staging.</t>
        </is>
      </c>
      <c r="AD206" s="12" t="n"/>
    </row>
    <row r="207" ht="78" customHeight="1" s="43">
      <c r="A207" s="11" t="n">
        <v>2</v>
      </c>
      <c r="B207" s="11" t="n">
        <v>203</v>
      </c>
      <c r="C207" s="12" t="inlineStr">
        <is>
          <t>US-074-02</t>
        </is>
      </c>
      <c r="D207" s="12" t="inlineStr">
        <is>
          <t>Complete the primary Lost and Found workflow</t>
        </is>
      </c>
      <c r="E207" s="12" t="inlineStr">
        <is>
          <t>EPIC-04</t>
        </is>
      </c>
      <c r="F207" s="12" t="inlineStr">
        <is>
          <t>Housekeeping</t>
        </is>
      </c>
      <c r="G207" s="12" t="inlineStr">
        <is>
          <t>Lost Property</t>
        </is>
      </c>
      <c r="H207" s="11" t="inlineStr">
        <is>
          <t>SCR-074</t>
        </is>
      </c>
      <c r="I207" s="12" t="inlineStr">
        <is>
          <t>Lost and Found</t>
        </is>
      </c>
      <c r="J207" s="12" t="inlineStr">
        <is>
          <t>Primary Workflow</t>
        </is>
      </c>
      <c r="K207" s="12" t="inlineStr">
        <is>
          <t>Housekeeping Manager</t>
        </is>
      </c>
      <c r="L207" s="12" t="inlineStr">
        <is>
          <t>As a Housekeeping Manager, I want to list, search, filter, view, create, edit, cancel/delete under policy, export in Lost and Found, so that the lost property process is completed accurately without duplicate or inconsistent records.</t>
        </is>
      </c>
      <c r="M207" s="12" t="inlineStr">
        <is>
          <t>Enable housekeeping users to manage lost property through the Lost and Found workflow with real-time status, validations and traceability.</t>
        </is>
      </c>
      <c r="N207" s="12" t="inlineStr">
        <is>
          <t>View access confirmed; required masters and linked records exist; Rooms, Workforce, Inventory services are available; approval limit is valid.</t>
        </is>
      </c>
      <c r="O20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lost and found workflow; invalid or conflicting actions are blocked with clear messages; saved changes appear in related screens; sensitive changes are auditable.</t>
        </is>
      </c>
      <c r="P207" s="12" t="inlineStr">
        <is>
          <t>Duplicate submission is idempotent; stale data returns a refresh/conflict message; invalid status transitions are blocked; partial failure rolls back without orphan records.</t>
        </is>
      </c>
      <c r="Q207" s="12" t="inlineStr">
        <is>
          <t>Tenant/property scope; required fields; optimistic locking; timezone-safe dates; reason mandatory for overrides; valid status transition; linked-record integrity</t>
        </is>
      </c>
      <c r="R207" s="12" t="inlineStr">
        <is>
          <t>Rooms, Workforce, Inventory</t>
        </is>
      </c>
      <c r="S207" s="12" t="inlineStr">
        <is>
          <t>GET, POST, PUT/PATCH, DELETE /api/v1/lost-and-found; lookup, validation and audit endpoints; idempotency for financial/booking writes; entities: housekeeping_tasks, room_status_logs, lost_found, linen_movements, minibar_postings</t>
        </is>
      </c>
      <c r="T207" s="12" t="inlineStr">
        <is>
          <t>Should Have</t>
        </is>
      </c>
      <c r="U207" s="12" t="inlineStr">
        <is>
          <t>Release 1.1</t>
        </is>
      </c>
      <c r="V207" s="34" t="n">
        <v>5</v>
      </c>
      <c r="W207" s="12" t="inlineStr">
        <is>
          <t>S10-S11</t>
        </is>
      </c>
      <c r="X207" s="12" t="inlineStr">
        <is>
          <t>Backlog</t>
        </is>
      </c>
      <c r="Y207" s="13">
        <f>IF(X207="Done",1,IF(X207="QA",0.9,IF(X207="Code Review",0.75,IF(X207="In Development",0.5,IF(X207="Ready",0.1,0)))))</f>
        <v/>
      </c>
      <c r="Z207" s="12" t="n"/>
      <c r="AA207" s="12" t="inlineStr">
        <is>
          <t>TC-074-B</t>
        </is>
      </c>
      <c r="AB207" s="12" t="inlineStr">
        <is>
          <t>Approved screen design; story reviewed with Housekeeping Manager; dependencies, API contract, role permissions and test data identified.</t>
        </is>
      </c>
      <c r="AC207" s="12" t="inlineStr">
        <is>
          <t>Code reviewed; unit, API, UI, RBAC and integration tests pass; accessibility and responsive states verified; audit evidence captured; product owner accepts in staging.</t>
        </is>
      </c>
      <c r="AD207" s="12" t="n"/>
    </row>
    <row r="208" ht="78" customHeight="1" s="43">
      <c r="A208" s="11" t="n">
        <v>2</v>
      </c>
      <c r="B208" s="11" t="n">
        <v>204</v>
      </c>
      <c r="C208" s="12" t="inlineStr">
        <is>
          <t>US-074-03</t>
        </is>
      </c>
      <c r="D208" s="12" t="inlineStr">
        <is>
          <t>Control permissions, overrides and audit for Lost and Found</t>
        </is>
      </c>
      <c r="E208" s="12" t="inlineStr">
        <is>
          <t>EPIC-04</t>
        </is>
      </c>
      <c r="F208" s="12" t="inlineStr">
        <is>
          <t>Housekeeping</t>
        </is>
      </c>
      <c r="G208" s="12" t="inlineStr">
        <is>
          <t>Lost Property</t>
        </is>
      </c>
      <c r="H208" s="11" t="inlineStr">
        <is>
          <t>SCR-074</t>
        </is>
      </c>
      <c r="I208" s="12" t="inlineStr">
        <is>
          <t>Lost and Found</t>
        </is>
      </c>
      <c r="J208" s="12" t="inlineStr">
        <is>
          <t>Security / Exceptions</t>
        </is>
      </c>
      <c r="K208" s="12" t="inlineStr">
        <is>
          <t>Housekeeping Manager</t>
        </is>
      </c>
      <c r="L208" s="12" t="inlineStr">
        <is>
          <t>As a department supervisor or auditor, I want sensitive actions in Lost and Found to follow permissions, approval limits and audit rules, so that resort operations remain secure, compliant and traceable.</t>
        </is>
      </c>
      <c r="M208" s="12" t="inlineStr">
        <is>
          <t>Reduces fraud, privacy leakage, unauthorized overrides and unresolved operational disputes.</t>
        </is>
      </c>
      <c r="N208" s="12" t="inlineStr">
        <is>
          <t>Roles, permissions, approval hierarchy and audit service are configured; allowed and denied test users exist.</t>
        </is>
      </c>
      <c r="O20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08" s="12" t="inlineStr">
        <is>
          <t>Tampered IDs, expired sessions, approval-limit violations and cross-tenant requests are rejected; secrets and sensitive guest/payment fields are never written to logs.</t>
        </is>
      </c>
      <c r="Q208" s="12" t="inlineStr">
        <is>
          <t>Tenant/property scope; required fields; optimistic locking; timezone-safe dates; reason mandatory for overrides; valid status transition; linked-record integrity</t>
        </is>
      </c>
      <c r="R208" s="12" t="inlineStr">
        <is>
          <t>Rooms, Workforce, Inventory</t>
        </is>
      </c>
      <c r="S208" s="12" t="inlineStr">
        <is>
          <t>GET, POST, PUT/PATCH, DELETE /api/v1/lost-and-found; lookup, validation and audit endpoints; idempotency for financial/booking writes; entities: housekeeping_tasks, room_status_logs, lost_found, linen_movements, minibar_postings</t>
        </is>
      </c>
      <c r="T208" s="12" t="inlineStr">
        <is>
          <t>Should Have</t>
        </is>
      </c>
      <c r="U208" s="12" t="inlineStr">
        <is>
          <t>Release 1.1</t>
        </is>
      </c>
      <c r="V208" s="34" t="n">
        <v>3</v>
      </c>
      <c r="W208" s="12" t="inlineStr">
        <is>
          <t>S10-S11</t>
        </is>
      </c>
      <c r="X208" s="12" t="inlineStr">
        <is>
          <t>Backlog</t>
        </is>
      </c>
      <c r="Y208" s="13">
        <f>IF(X208="Done",1,IF(X208="QA",0.9,IF(X208="Code Review",0.75,IF(X208="In Development",0.5,IF(X208="Ready",0.1,0)))))</f>
        <v/>
      </c>
      <c r="Z208" s="12" t="n"/>
      <c r="AA208" s="12" t="inlineStr">
        <is>
          <t>TC-074-C</t>
        </is>
      </c>
      <c r="AB208" s="12" t="inlineStr">
        <is>
          <t>Approved screen design; story reviewed with Housekeeping Manager; dependencies, API contract, role permissions and test data identified.</t>
        </is>
      </c>
      <c r="AC208" s="12" t="inlineStr">
        <is>
          <t>Code reviewed; unit, API, UI, RBAC and integration tests pass; accessibility and responsive states verified; audit evidence captured; product owner accepts in staging.</t>
        </is>
      </c>
      <c r="AD208" s="12" t="n"/>
    </row>
    <row r="209" ht="78" customHeight="1" s="43">
      <c r="A209" s="11" t="n">
        <v>2</v>
      </c>
      <c r="B209" s="11" t="n">
        <v>205</v>
      </c>
      <c r="C209" s="12" t="inlineStr">
        <is>
          <t>US-075-01</t>
        </is>
      </c>
      <c r="D209" s="12" t="inlineStr">
        <is>
          <t>View and find information in Linen and Laundry</t>
        </is>
      </c>
      <c r="E209" s="12" t="inlineStr">
        <is>
          <t>EPIC-04</t>
        </is>
      </c>
      <c r="F209" s="12" t="inlineStr">
        <is>
          <t>Housekeeping</t>
        </is>
      </c>
      <c r="G209" s="12" t="inlineStr">
        <is>
          <t>Laundry Operations</t>
        </is>
      </c>
      <c r="H209" s="11" t="inlineStr">
        <is>
          <t>SCR-075</t>
        </is>
      </c>
      <c r="I209" s="12" t="inlineStr">
        <is>
          <t>Linen and Laundry</t>
        </is>
      </c>
      <c r="J209" s="12" t="inlineStr">
        <is>
          <t>View / Search</t>
        </is>
      </c>
      <c r="K209" s="12" t="inlineStr">
        <is>
          <t>Housekeeping Manager</t>
        </is>
      </c>
      <c r="L209" s="12" t="inlineStr">
        <is>
          <t>As a Housekeeping Manager, I want to open Linen and Laundry and find relevant records using search, filters and sorting, so that I can make accurate operational decisions.</t>
        </is>
      </c>
      <c r="M209" s="12" t="inlineStr">
        <is>
          <t>Provides timely visibility for laundry operations and reduces manual lookup effort.</t>
        </is>
      </c>
      <c r="N209" s="12" t="inlineStr">
        <is>
          <t>Authenticated user; active property; view permission for Housekeeping; Rooms, Workforce, Inventory data available.</t>
        </is>
      </c>
      <c r="O209" s="12" t="inlineStr">
        <is>
          <t>Given I am authenticated as Housekeeping Manager with access to the selected property, when I open Linen and Laundry,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09" s="12" t="inlineStr">
        <is>
          <t>Cross-property data never appears; unauthorized fields are masked; invalid filters do not break the screen; unavailable services return a controlled message.</t>
        </is>
      </c>
      <c r="Q209" s="12" t="inlineStr">
        <is>
          <t>Tenant/property scope; required fields; optimistic locking; timezone-safe dates; reason mandatory for overrides; valid status transition; linked-record integrity</t>
        </is>
      </c>
      <c r="R209" s="12" t="inlineStr">
        <is>
          <t>Rooms, Workforce, Inventory</t>
        </is>
      </c>
      <c r="S209" s="12" t="inlineStr">
        <is>
          <t>GET, POST, PUT/PATCH, DELETE /api/v1/linen-and-laundry; lookup, validation and audit endpoints; idempotency for financial/booking writes; entities: housekeeping_tasks, room_status_logs, lost_found, linen_movements, minibar_postings</t>
        </is>
      </c>
      <c r="T209" s="12" t="inlineStr">
        <is>
          <t>Should Have</t>
        </is>
      </c>
      <c r="U209" s="12" t="inlineStr">
        <is>
          <t>Release 1.1</t>
        </is>
      </c>
      <c r="V209" s="34" t="n">
        <v>3</v>
      </c>
      <c r="W209" s="12" t="inlineStr">
        <is>
          <t>S10-S11</t>
        </is>
      </c>
      <c r="X209" s="12" t="inlineStr">
        <is>
          <t>Backlog</t>
        </is>
      </c>
      <c r="Y209" s="13">
        <f>IF(X209="Done",1,IF(X209="QA",0.9,IF(X209="Code Review",0.75,IF(X209="In Development",0.5,IF(X209="Ready",0.1,0)))))</f>
        <v/>
      </c>
      <c r="Z209" s="12" t="n"/>
      <c r="AA209" s="12" t="inlineStr">
        <is>
          <t>TC-075-A</t>
        </is>
      </c>
      <c r="AB209" s="12" t="inlineStr">
        <is>
          <t>Approved screen design; story reviewed with Housekeeping Manager; dependencies, API contract, role permissions and test data identified.</t>
        </is>
      </c>
      <c r="AC209" s="12" t="inlineStr">
        <is>
          <t>Code reviewed; unit, API, UI, RBAC and integration tests pass; accessibility and responsive states verified; audit evidence captured; product owner accepts in staging.</t>
        </is>
      </c>
      <c r="AD209" s="12" t="n"/>
    </row>
    <row r="210" ht="78" customHeight="1" s="43">
      <c r="A210" s="11" t="n">
        <v>2</v>
      </c>
      <c r="B210" s="11" t="n">
        <v>206</v>
      </c>
      <c r="C210" s="12" t="inlineStr">
        <is>
          <t>US-075-02</t>
        </is>
      </c>
      <c r="D210" s="12" t="inlineStr">
        <is>
          <t>Complete the primary Linen and Laundry workflow</t>
        </is>
      </c>
      <c r="E210" s="12" t="inlineStr">
        <is>
          <t>EPIC-04</t>
        </is>
      </c>
      <c r="F210" s="12" t="inlineStr">
        <is>
          <t>Housekeeping</t>
        </is>
      </c>
      <c r="G210" s="12" t="inlineStr">
        <is>
          <t>Laundry Operations</t>
        </is>
      </c>
      <c r="H210" s="11" t="inlineStr">
        <is>
          <t>SCR-075</t>
        </is>
      </c>
      <c r="I210" s="12" t="inlineStr">
        <is>
          <t>Linen and Laundry</t>
        </is>
      </c>
      <c r="J210" s="12" t="inlineStr">
        <is>
          <t>Primary Workflow</t>
        </is>
      </c>
      <c r="K210" s="12" t="inlineStr">
        <is>
          <t>Housekeeping Manager</t>
        </is>
      </c>
      <c r="L210" s="12" t="inlineStr">
        <is>
          <t>As a Housekeeping Manager, I want to list, search, filter, view, create, edit, cancel/delete under policy, export in Linen and Laundry, so that the laundry operations process is completed accurately without duplicate or inconsistent records.</t>
        </is>
      </c>
      <c r="M210" s="12" t="inlineStr">
        <is>
          <t>Enable housekeeping users to manage laundry operations through the Linen and Laundry workflow with real-time status, validations and traceability.</t>
        </is>
      </c>
      <c r="N210" s="12" t="inlineStr">
        <is>
          <t>View access confirmed; required masters and linked records exist; Rooms, Workforce, Inventory services are available; approval limit is valid.</t>
        </is>
      </c>
      <c r="O21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linen and laundry workflow; invalid or conflicting actions are blocked with clear messages; saved changes appear in related screens; sensitive changes are auditable.</t>
        </is>
      </c>
      <c r="P210" s="12" t="inlineStr">
        <is>
          <t>Duplicate submission is idempotent; stale data returns a refresh/conflict message; invalid status transitions are blocked; partial failure rolls back without orphan records.</t>
        </is>
      </c>
      <c r="Q210" s="12" t="inlineStr">
        <is>
          <t>Tenant/property scope; required fields; optimistic locking; timezone-safe dates; reason mandatory for overrides; valid status transition; linked-record integrity</t>
        </is>
      </c>
      <c r="R210" s="12" t="inlineStr">
        <is>
          <t>Rooms, Workforce, Inventory</t>
        </is>
      </c>
      <c r="S210" s="12" t="inlineStr">
        <is>
          <t>GET, POST, PUT/PATCH, DELETE /api/v1/linen-and-laundry; lookup, validation and audit endpoints; idempotency for financial/booking writes; entities: housekeeping_tasks, room_status_logs, lost_found, linen_movements, minibar_postings</t>
        </is>
      </c>
      <c r="T210" s="12" t="inlineStr">
        <is>
          <t>Should Have</t>
        </is>
      </c>
      <c r="U210" s="12" t="inlineStr">
        <is>
          <t>Release 1.1</t>
        </is>
      </c>
      <c r="V210" s="34" t="n">
        <v>5</v>
      </c>
      <c r="W210" s="12" t="inlineStr">
        <is>
          <t>S10-S11</t>
        </is>
      </c>
      <c r="X210" s="12" t="inlineStr">
        <is>
          <t>Backlog</t>
        </is>
      </c>
      <c r="Y210" s="13">
        <f>IF(X210="Done",1,IF(X210="QA",0.9,IF(X210="Code Review",0.75,IF(X210="In Development",0.5,IF(X210="Ready",0.1,0)))))</f>
        <v/>
      </c>
      <c r="Z210" s="12" t="n"/>
      <c r="AA210" s="12" t="inlineStr">
        <is>
          <t>TC-075-B</t>
        </is>
      </c>
      <c r="AB210" s="12" t="inlineStr">
        <is>
          <t>Approved screen design; story reviewed with Housekeeping Manager; dependencies, API contract, role permissions and test data identified.</t>
        </is>
      </c>
      <c r="AC210" s="12" t="inlineStr">
        <is>
          <t>Code reviewed; unit, API, UI, RBAC and integration tests pass; accessibility and responsive states verified; audit evidence captured; product owner accepts in staging.</t>
        </is>
      </c>
      <c r="AD210" s="12" t="n"/>
    </row>
    <row r="211" ht="78" customHeight="1" s="43">
      <c r="A211" s="11" t="n">
        <v>2</v>
      </c>
      <c r="B211" s="11" t="n">
        <v>207</v>
      </c>
      <c r="C211" s="12" t="inlineStr">
        <is>
          <t>US-075-03</t>
        </is>
      </c>
      <c r="D211" s="12" t="inlineStr">
        <is>
          <t>Control permissions, overrides and audit for Linen and Laundry</t>
        </is>
      </c>
      <c r="E211" s="12" t="inlineStr">
        <is>
          <t>EPIC-04</t>
        </is>
      </c>
      <c r="F211" s="12" t="inlineStr">
        <is>
          <t>Housekeeping</t>
        </is>
      </c>
      <c r="G211" s="12" t="inlineStr">
        <is>
          <t>Laundry Operations</t>
        </is>
      </c>
      <c r="H211" s="11" t="inlineStr">
        <is>
          <t>SCR-075</t>
        </is>
      </c>
      <c r="I211" s="12" t="inlineStr">
        <is>
          <t>Linen and Laundry</t>
        </is>
      </c>
      <c r="J211" s="12" t="inlineStr">
        <is>
          <t>Security / Exceptions</t>
        </is>
      </c>
      <c r="K211" s="12" t="inlineStr">
        <is>
          <t>Housekeeping Manager</t>
        </is>
      </c>
      <c r="L211" s="12" t="inlineStr">
        <is>
          <t>As a department supervisor or auditor, I want sensitive actions in Linen and Laundry to follow permissions, approval limits and audit rules, so that resort operations remain secure, compliant and traceable.</t>
        </is>
      </c>
      <c r="M211" s="12" t="inlineStr">
        <is>
          <t>Reduces fraud, privacy leakage, unauthorized overrides and unresolved operational disputes.</t>
        </is>
      </c>
      <c r="N211" s="12" t="inlineStr">
        <is>
          <t>Roles, permissions, approval hierarchy and audit service are configured; allowed and denied test users exist.</t>
        </is>
      </c>
      <c r="O21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11" s="12" t="inlineStr">
        <is>
          <t>Tampered IDs, expired sessions, approval-limit violations and cross-tenant requests are rejected; secrets and sensitive guest/payment fields are never written to logs.</t>
        </is>
      </c>
      <c r="Q211" s="12" t="inlineStr">
        <is>
          <t>Tenant/property scope; required fields; optimistic locking; timezone-safe dates; reason mandatory for overrides; valid status transition; linked-record integrity</t>
        </is>
      </c>
      <c r="R211" s="12" t="inlineStr">
        <is>
          <t>Rooms, Workforce, Inventory</t>
        </is>
      </c>
      <c r="S211" s="12" t="inlineStr">
        <is>
          <t>GET, POST, PUT/PATCH, DELETE /api/v1/linen-and-laundry; lookup, validation and audit endpoints; idempotency for financial/booking writes; entities: housekeeping_tasks, room_status_logs, lost_found, linen_movements, minibar_postings</t>
        </is>
      </c>
      <c r="T211" s="12" t="inlineStr">
        <is>
          <t>Should Have</t>
        </is>
      </c>
      <c r="U211" s="12" t="inlineStr">
        <is>
          <t>Release 1.1</t>
        </is>
      </c>
      <c r="V211" s="34" t="n">
        <v>3</v>
      </c>
      <c r="W211" s="12" t="inlineStr">
        <is>
          <t>S10-S11</t>
        </is>
      </c>
      <c r="X211" s="12" t="inlineStr">
        <is>
          <t>Backlog</t>
        </is>
      </c>
      <c r="Y211" s="13">
        <f>IF(X211="Done",1,IF(X211="QA",0.9,IF(X211="Code Review",0.75,IF(X211="In Development",0.5,IF(X211="Ready",0.1,0)))))</f>
        <v/>
      </c>
      <c r="Z211" s="12" t="n"/>
      <c r="AA211" s="12" t="inlineStr">
        <is>
          <t>TC-075-C</t>
        </is>
      </c>
      <c r="AB211" s="12" t="inlineStr">
        <is>
          <t>Approved screen design; story reviewed with Housekeeping Manager; dependencies, API contract, role permissions and test data identified.</t>
        </is>
      </c>
      <c r="AC211" s="12" t="inlineStr">
        <is>
          <t>Code reviewed; unit, API, UI, RBAC and integration tests pass; accessibility and responsive states verified; audit evidence captured; product owner accepts in staging.</t>
        </is>
      </c>
      <c r="AD211" s="12" t="n"/>
    </row>
    <row r="212" ht="78" customHeight="1" s="43">
      <c r="A212" s="11" t="n">
        <v>2</v>
      </c>
      <c r="B212" s="11" t="n">
        <v>208</v>
      </c>
      <c r="C212" s="12" t="inlineStr">
        <is>
          <t>US-076-01</t>
        </is>
      </c>
      <c r="D212" s="12" t="inlineStr">
        <is>
          <t>View and find information in Minibar Posting</t>
        </is>
      </c>
      <c r="E212" s="12" t="inlineStr">
        <is>
          <t>EPIC-04</t>
        </is>
      </c>
      <c r="F212" s="12" t="inlineStr">
        <is>
          <t>Housekeeping</t>
        </is>
      </c>
      <c r="G212" s="12" t="inlineStr">
        <is>
          <t>Minibar</t>
        </is>
      </c>
      <c r="H212" s="11" t="inlineStr">
        <is>
          <t>SCR-076</t>
        </is>
      </c>
      <c r="I212" s="12" t="inlineStr">
        <is>
          <t>Minibar Posting</t>
        </is>
      </c>
      <c r="J212" s="12" t="inlineStr">
        <is>
          <t>View / Search</t>
        </is>
      </c>
      <c r="K212" s="12" t="inlineStr">
        <is>
          <t>Housekeeping Manager</t>
        </is>
      </c>
      <c r="L212" s="12" t="inlineStr">
        <is>
          <t>As a Housekeeping Manager, I want to open Minibar Posting and find relevant records using search, filters and sorting, so that I can make accurate operational decisions.</t>
        </is>
      </c>
      <c r="M212" s="12" t="inlineStr">
        <is>
          <t>Provides timely visibility for minibar and reduces manual lookup effort.</t>
        </is>
      </c>
      <c r="N212" s="12" t="inlineStr">
        <is>
          <t>Authenticated user; active property; view permission for Housekeeping; Rooms, Workforce, Inventory data available.</t>
        </is>
      </c>
      <c r="O212" s="12" t="inlineStr">
        <is>
          <t>Given I am authenticated as Housekeeping Manager with access to the selected property, when I open Minibar Posting,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12" s="12" t="inlineStr">
        <is>
          <t>Cross-property data never appears; unauthorized fields are masked; invalid filters do not break the screen; unavailable services return a controlled message.</t>
        </is>
      </c>
      <c r="Q212" s="12" t="inlineStr">
        <is>
          <t>Tenant/property scope; required fields; optimistic locking; timezone-safe dates; reason mandatory for overrides; valid status transition; linked-record integrity</t>
        </is>
      </c>
      <c r="R212" s="12" t="inlineStr">
        <is>
          <t>Rooms, Workforce, Inventory</t>
        </is>
      </c>
      <c r="S212" s="12" t="inlineStr">
        <is>
          <t>GET, POST/PATCH /api/v1/minibar-posting; lookup, validation and audit endpoints; idempotency for financial/booking writes; entities: housekeeping_tasks, room_status_logs, lost_found, linen_movements, minibar_postings</t>
        </is>
      </c>
      <c r="T212" s="12" t="inlineStr">
        <is>
          <t>Should Have</t>
        </is>
      </c>
      <c r="U212" s="12" t="inlineStr">
        <is>
          <t>Release 1.1</t>
        </is>
      </c>
      <c r="V212" s="34" t="n">
        <v>3</v>
      </c>
      <c r="W212" s="12" t="inlineStr">
        <is>
          <t>S10-S11</t>
        </is>
      </c>
      <c r="X212" s="12" t="inlineStr">
        <is>
          <t>Backlog</t>
        </is>
      </c>
      <c r="Y212" s="13">
        <f>IF(X212="Done",1,IF(X212="QA",0.9,IF(X212="Code Review",0.75,IF(X212="In Development",0.5,IF(X212="Ready",0.1,0)))))</f>
        <v/>
      </c>
      <c r="Z212" s="12" t="n"/>
      <c r="AA212" s="12" t="inlineStr">
        <is>
          <t>TC-076-A</t>
        </is>
      </c>
      <c r="AB212" s="12" t="inlineStr">
        <is>
          <t>Approved screen design; story reviewed with Housekeeping Manager; dependencies, API contract, role permissions and test data identified.</t>
        </is>
      </c>
      <c r="AC212" s="12" t="inlineStr">
        <is>
          <t>Code reviewed; unit, API, UI, RBAC and integration tests pass; accessibility and responsive states verified; audit evidence captured; product owner accepts in staging.</t>
        </is>
      </c>
      <c r="AD212" s="12" t="n"/>
    </row>
    <row r="213" ht="78" customHeight="1" s="43">
      <c r="A213" s="11" t="n">
        <v>2</v>
      </c>
      <c r="B213" s="11" t="n">
        <v>209</v>
      </c>
      <c r="C213" s="12" t="inlineStr">
        <is>
          <t>US-076-02</t>
        </is>
      </c>
      <c r="D213" s="12" t="inlineStr">
        <is>
          <t>Complete the primary Minibar Posting workflow</t>
        </is>
      </c>
      <c r="E213" s="12" t="inlineStr">
        <is>
          <t>EPIC-04</t>
        </is>
      </c>
      <c r="F213" s="12" t="inlineStr">
        <is>
          <t>Housekeeping</t>
        </is>
      </c>
      <c r="G213" s="12" t="inlineStr">
        <is>
          <t>Minibar</t>
        </is>
      </c>
      <c r="H213" s="11" t="inlineStr">
        <is>
          <t>SCR-076</t>
        </is>
      </c>
      <c r="I213" s="12" t="inlineStr">
        <is>
          <t>Minibar Posting</t>
        </is>
      </c>
      <c r="J213" s="12" t="inlineStr">
        <is>
          <t>Primary Workflow</t>
        </is>
      </c>
      <c r="K213" s="12" t="inlineStr">
        <is>
          <t>Housekeeping Manager</t>
        </is>
      </c>
      <c r="L213" s="12" t="inlineStr">
        <is>
          <t>As a Housekeeping Manager, I want to search, view, validate, process, reverse with approval in Minibar Posting, so that the minibar process is completed accurately without duplicate or inconsistent records.</t>
        </is>
      </c>
      <c r="M213" s="12" t="inlineStr">
        <is>
          <t>Enable housekeeping users to manage minibar through the Minibar Posting workflow with real-time status, validations and traceability.</t>
        </is>
      </c>
      <c r="N213" s="12" t="inlineStr">
        <is>
          <t>View access confirmed; required masters and linked records exist; Rooms, Workforce, Inventory services are available; approval limit is valid.</t>
        </is>
      </c>
      <c r="O21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minibar posting workflow; invalid or conflicting actions are blocked with clear messages; saved changes appear in related screens; sensitive changes are auditable.</t>
        </is>
      </c>
      <c r="P213" s="12" t="inlineStr">
        <is>
          <t>Duplicate submission is idempotent; stale data returns a refresh/conflict message; invalid status transitions are blocked; partial failure rolls back without orphan records.</t>
        </is>
      </c>
      <c r="Q213" s="12" t="inlineStr">
        <is>
          <t>Tenant/property scope; required fields; optimistic locking; timezone-safe dates; reason mandatory for overrides; valid status transition; linked-record integrity</t>
        </is>
      </c>
      <c r="R213" s="12" t="inlineStr">
        <is>
          <t>Rooms, Workforce, Inventory</t>
        </is>
      </c>
      <c r="S213" s="12" t="inlineStr">
        <is>
          <t>GET, POST/PATCH /api/v1/minibar-posting; lookup, validation and audit endpoints; idempotency for financial/booking writes; entities: housekeeping_tasks, room_status_logs, lost_found, linen_movements, minibar_postings</t>
        </is>
      </c>
      <c r="T213" s="12" t="inlineStr">
        <is>
          <t>Should Have</t>
        </is>
      </c>
      <c r="U213" s="12" t="inlineStr">
        <is>
          <t>Release 1.1</t>
        </is>
      </c>
      <c r="V213" s="34" t="n">
        <v>5</v>
      </c>
      <c r="W213" s="12" t="inlineStr">
        <is>
          <t>S10-S11</t>
        </is>
      </c>
      <c r="X213" s="12" t="inlineStr">
        <is>
          <t>Backlog</t>
        </is>
      </c>
      <c r="Y213" s="13">
        <f>IF(X213="Done",1,IF(X213="QA",0.9,IF(X213="Code Review",0.75,IF(X213="In Development",0.5,IF(X213="Ready",0.1,0)))))</f>
        <v/>
      </c>
      <c r="Z213" s="12" t="n"/>
      <c r="AA213" s="12" t="inlineStr">
        <is>
          <t>TC-076-B</t>
        </is>
      </c>
      <c r="AB213" s="12" t="inlineStr">
        <is>
          <t>Approved screen design; story reviewed with Housekeeping Manager; dependencies, API contract, role permissions and test data identified.</t>
        </is>
      </c>
      <c r="AC213" s="12" t="inlineStr">
        <is>
          <t>Code reviewed; unit, API, UI, RBAC and integration tests pass; accessibility and responsive states verified; audit evidence captured; product owner accepts in staging.</t>
        </is>
      </c>
      <c r="AD213" s="12" t="n"/>
    </row>
    <row r="214" ht="78" customHeight="1" s="43">
      <c r="A214" s="11" t="n">
        <v>2</v>
      </c>
      <c r="B214" s="11" t="n">
        <v>210</v>
      </c>
      <c r="C214" s="12" t="inlineStr">
        <is>
          <t>US-076-03</t>
        </is>
      </c>
      <c r="D214" s="12" t="inlineStr">
        <is>
          <t>Control permissions, overrides and audit for Minibar Posting</t>
        </is>
      </c>
      <c r="E214" s="12" t="inlineStr">
        <is>
          <t>EPIC-04</t>
        </is>
      </c>
      <c r="F214" s="12" t="inlineStr">
        <is>
          <t>Housekeeping</t>
        </is>
      </c>
      <c r="G214" s="12" t="inlineStr">
        <is>
          <t>Minibar</t>
        </is>
      </c>
      <c r="H214" s="11" t="inlineStr">
        <is>
          <t>SCR-076</t>
        </is>
      </c>
      <c r="I214" s="12" t="inlineStr">
        <is>
          <t>Minibar Posting</t>
        </is>
      </c>
      <c r="J214" s="12" t="inlineStr">
        <is>
          <t>Security / Exceptions</t>
        </is>
      </c>
      <c r="K214" s="12" t="inlineStr">
        <is>
          <t>Housekeeping Manager</t>
        </is>
      </c>
      <c r="L214" s="12" t="inlineStr">
        <is>
          <t>As a department supervisor or auditor, I want sensitive actions in Minibar Posting to follow permissions, approval limits and audit rules, so that resort operations remain secure, compliant and traceable.</t>
        </is>
      </c>
      <c r="M214" s="12" t="inlineStr">
        <is>
          <t>Reduces fraud, privacy leakage, unauthorized overrides and unresolved operational disputes.</t>
        </is>
      </c>
      <c r="N214" s="12" t="inlineStr">
        <is>
          <t>Roles, permissions, approval hierarchy and audit service are configured; allowed and denied test users exist.</t>
        </is>
      </c>
      <c r="O21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14" s="12" t="inlineStr">
        <is>
          <t>Tampered IDs, expired sessions, approval-limit violations and cross-tenant requests are rejected; secrets and sensitive guest/payment fields are never written to logs.</t>
        </is>
      </c>
      <c r="Q214" s="12" t="inlineStr">
        <is>
          <t>Tenant/property scope; required fields; optimistic locking; timezone-safe dates; reason mandatory for overrides; valid status transition; linked-record integrity</t>
        </is>
      </c>
      <c r="R214" s="12" t="inlineStr">
        <is>
          <t>Rooms, Workforce, Inventory</t>
        </is>
      </c>
      <c r="S214" s="12" t="inlineStr">
        <is>
          <t>GET, POST/PATCH /api/v1/minibar-posting; lookup, validation and audit endpoints; idempotency for financial/booking writes; entities: housekeeping_tasks, room_status_logs, lost_found, linen_movements, minibar_postings</t>
        </is>
      </c>
      <c r="T214" s="12" t="inlineStr">
        <is>
          <t>Should Have</t>
        </is>
      </c>
      <c r="U214" s="12" t="inlineStr">
        <is>
          <t>Release 1.1</t>
        </is>
      </c>
      <c r="V214" s="34" t="n">
        <v>3</v>
      </c>
      <c r="W214" s="12" t="inlineStr">
        <is>
          <t>S10-S11</t>
        </is>
      </c>
      <c r="X214" s="12" t="inlineStr">
        <is>
          <t>Backlog</t>
        </is>
      </c>
      <c r="Y214" s="13">
        <f>IF(X214="Done",1,IF(X214="QA",0.9,IF(X214="Code Review",0.75,IF(X214="In Development",0.5,IF(X214="Ready",0.1,0)))))</f>
        <v/>
      </c>
      <c r="Z214" s="12" t="n"/>
      <c r="AA214" s="12" t="inlineStr">
        <is>
          <t>TC-076-C</t>
        </is>
      </c>
      <c r="AB214" s="12" t="inlineStr">
        <is>
          <t>Approved screen design; story reviewed with Housekeeping Manager; dependencies, API contract, role permissions and test data identified.</t>
        </is>
      </c>
      <c r="AC214" s="12" t="inlineStr">
        <is>
          <t>Code reviewed; unit, API, UI, RBAC and integration tests pass; accessibility and responsive states verified; audit evidence captured; product owner accepts in staging.</t>
        </is>
      </c>
      <c r="AD214" s="12" t="n"/>
    </row>
    <row r="215" ht="78" customHeight="1" s="43">
      <c r="A215" s="11" t="n">
        <v>2</v>
      </c>
      <c r="B215" s="11" t="n">
        <v>211</v>
      </c>
      <c r="C215" s="12" t="inlineStr">
        <is>
          <t>US-012-01</t>
        </is>
      </c>
      <c r="D215" s="12" t="inlineStr">
        <is>
          <t>View and find information in Kitchen Display System</t>
        </is>
      </c>
      <c r="E215" s="12" t="inlineStr">
        <is>
          <t>EPIC-07</t>
        </is>
      </c>
      <c r="F215" s="12" t="inlineStr">
        <is>
          <t>Food &amp; Beverage</t>
        </is>
      </c>
      <c r="G215" s="12" t="inlineStr">
        <is>
          <t>Kitchen</t>
        </is>
      </c>
      <c r="H215" s="11" t="inlineStr">
        <is>
          <t>SCR-012</t>
        </is>
      </c>
      <c r="I215" s="12" t="inlineStr">
        <is>
          <t>Kitchen Display System</t>
        </is>
      </c>
      <c r="J215" s="12" t="inlineStr">
        <is>
          <t>View / Search</t>
        </is>
      </c>
      <c r="K215" s="12" t="inlineStr">
        <is>
          <t>F&amp;B Manager</t>
        </is>
      </c>
      <c r="L215" s="12" t="inlineStr">
        <is>
          <t>As a F&amp;B Manager, I want to open Kitchen Display System and find relevant records using search, filters and sorting, so that I can make accurate operational decisions.</t>
        </is>
      </c>
      <c r="M215" s="12" t="inlineStr">
        <is>
          <t>Provides timely visibility for kitchen and reduces manual lookup effort.</t>
        </is>
      </c>
      <c r="N215" s="12" t="inlineStr">
        <is>
          <t>Authenticated user; active property; view permission for Food &amp; Beverage; Inventory, Finance, Guests data available.</t>
        </is>
      </c>
      <c r="O215" s="12" t="inlineStr">
        <is>
          <t>Given I am authenticated as F&amp;B Manager with access to the selected property, when I open Kitchen Display System,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15" s="12" t="inlineStr">
        <is>
          <t>Cross-property data never appears; unauthorized fields are masked; invalid filters do not break the screen; unavailable services return a controlled message.</t>
        </is>
      </c>
      <c r="Q215" s="12" t="inlineStr">
        <is>
          <t>Tenant/property scope; required fields; optimistic locking; timezone-safe dates; reason mandatory for overrides; currency precision; tax/rate totals; approval limit; no unbalanced or duplicate posting</t>
        </is>
      </c>
      <c r="R215" s="12" t="inlineStr">
        <is>
          <t>Inventory, Finance, Guests</t>
        </is>
      </c>
      <c r="S215" s="12" t="inlineStr">
        <is>
          <t>GET, POST, PUT/PATCH, DELETE /api/v1/kitchen-display-system; lookup, validation and audit endpoints; idempotency for financial/booking writes; entities: outlets, tables, menu_items, pos_orders, pos_bills, kitchen_tickets</t>
        </is>
      </c>
      <c r="T215" s="12" t="inlineStr">
        <is>
          <t>Should Have</t>
        </is>
      </c>
      <c r="U215" s="12" t="inlineStr">
        <is>
          <t>Release 1.1</t>
        </is>
      </c>
      <c r="V215" s="34" t="n">
        <v>3</v>
      </c>
      <c r="W215" s="12" t="inlineStr">
        <is>
          <t>S12-S13</t>
        </is>
      </c>
      <c r="X215" s="12" t="inlineStr">
        <is>
          <t>Backlog</t>
        </is>
      </c>
      <c r="Y215" s="13">
        <f>IF(X215="Done",1,IF(X215="QA",0.9,IF(X215="Code Review",0.75,IF(X215="In Development",0.5,IF(X215="Ready",0.1,0)))))</f>
        <v/>
      </c>
      <c r="Z215" s="12" t="n"/>
      <c r="AA215" s="12" t="inlineStr">
        <is>
          <t>TC-012-A</t>
        </is>
      </c>
      <c r="AB215" s="12" t="inlineStr">
        <is>
          <t>Approved screen design; story reviewed with F&amp;B Manager; dependencies, API contract, role permissions and test data identified.</t>
        </is>
      </c>
      <c r="AC215" s="12" t="inlineStr">
        <is>
          <t>Code reviewed; unit, API, UI, RBAC and integration tests pass; accessibility and responsive states verified; audit evidence captured; product owner accepts in staging.</t>
        </is>
      </c>
      <c r="AD215" s="12" t="n"/>
    </row>
    <row r="216" ht="78" customHeight="1" s="43">
      <c r="A216" s="11" t="n">
        <v>2</v>
      </c>
      <c r="B216" s="11" t="n">
        <v>212</v>
      </c>
      <c r="C216" s="12" t="inlineStr">
        <is>
          <t>US-012-02</t>
        </is>
      </c>
      <c r="D216" s="12" t="inlineStr">
        <is>
          <t>Complete the primary Kitchen Display System workflow</t>
        </is>
      </c>
      <c r="E216" s="12" t="inlineStr">
        <is>
          <t>EPIC-07</t>
        </is>
      </c>
      <c r="F216" s="12" t="inlineStr">
        <is>
          <t>Food &amp; Beverage</t>
        </is>
      </c>
      <c r="G216" s="12" t="inlineStr">
        <is>
          <t>Kitchen</t>
        </is>
      </c>
      <c r="H216" s="11" t="inlineStr">
        <is>
          <t>SCR-012</t>
        </is>
      </c>
      <c r="I216" s="12" t="inlineStr">
        <is>
          <t>Kitchen Display System</t>
        </is>
      </c>
      <c r="J216" s="12" t="inlineStr">
        <is>
          <t>Primary Workflow</t>
        </is>
      </c>
      <c r="K216" s="12" t="inlineStr">
        <is>
          <t>F&amp;B Manager</t>
        </is>
      </c>
      <c r="L216" s="12" t="inlineStr">
        <is>
          <t>As a F&amp;B Manager, I want to list, search, filter, view, create, edit, cancel/delete under policy, export in Kitchen Display System, so that the kitchen process is completed accurately without duplicate or inconsistent records.</t>
        </is>
      </c>
      <c r="M216" s="12" t="inlineStr">
        <is>
          <t>Enable food &amp; beverage users to manage kitchen through the Kitchen Display System workflow with real-time status, validations and traceability.</t>
        </is>
      </c>
      <c r="N216" s="12" t="inlineStr">
        <is>
          <t>View access confirmed; required masters and linked records exist; Inventory, Finance, Guests services are available; approval limit is valid.</t>
        </is>
      </c>
      <c r="O21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kitchen display system workflow; invalid or conflicting actions are blocked with clear messages; saved changes appear in related screens; sensitive changes are auditable.</t>
        </is>
      </c>
      <c r="P216" s="12" t="inlineStr">
        <is>
          <t>Duplicate submission is idempotent; stale data returns a refresh/conflict message; invalid status transitions are blocked; partial failure rolls back without orphan records.</t>
        </is>
      </c>
      <c r="Q216" s="12" t="inlineStr">
        <is>
          <t>Tenant/property scope; required fields; optimistic locking; timezone-safe dates; reason mandatory for overrides; currency precision; tax/rate totals; approval limit; no unbalanced or duplicate posting</t>
        </is>
      </c>
      <c r="R216" s="12" t="inlineStr">
        <is>
          <t>Inventory, Finance, Guests</t>
        </is>
      </c>
      <c r="S216" s="12" t="inlineStr">
        <is>
          <t>GET, POST, PUT/PATCH, DELETE /api/v1/kitchen-display-system; lookup, validation and audit endpoints; idempotency for financial/booking writes; entities: outlets, tables, menu_items, pos_orders, pos_bills, kitchen_tickets</t>
        </is>
      </c>
      <c r="T216" s="12" t="inlineStr">
        <is>
          <t>Should Have</t>
        </is>
      </c>
      <c r="U216" s="12" t="inlineStr">
        <is>
          <t>Release 1.1</t>
        </is>
      </c>
      <c r="V216" s="34" t="n">
        <v>8</v>
      </c>
      <c r="W216" s="12" t="inlineStr">
        <is>
          <t>S12-S13</t>
        </is>
      </c>
      <c r="X216" s="12" t="inlineStr">
        <is>
          <t>Backlog</t>
        </is>
      </c>
      <c r="Y216" s="13">
        <f>IF(X216="Done",1,IF(X216="QA",0.9,IF(X216="Code Review",0.75,IF(X216="In Development",0.5,IF(X216="Ready",0.1,0)))))</f>
        <v/>
      </c>
      <c r="Z216" s="12" t="n"/>
      <c r="AA216" s="12" t="inlineStr">
        <is>
          <t>TC-012-B</t>
        </is>
      </c>
      <c r="AB216" s="12" t="inlineStr">
        <is>
          <t>Approved screen design; story reviewed with F&amp;B Manager; dependencies, API contract, role permissions and test data identified.</t>
        </is>
      </c>
      <c r="AC216" s="12" t="inlineStr">
        <is>
          <t>Code reviewed; unit, API, UI, RBAC and integration tests pass; accessibility and responsive states verified; audit evidence captured; product owner accepts in staging.</t>
        </is>
      </c>
      <c r="AD216" s="12" t="n"/>
    </row>
    <row r="217" ht="78" customHeight="1" s="43">
      <c r="A217" s="11" t="n">
        <v>2</v>
      </c>
      <c r="B217" s="11" t="n">
        <v>213</v>
      </c>
      <c r="C217" s="12" t="inlineStr">
        <is>
          <t>US-012-03</t>
        </is>
      </c>
      <c r="D217" s="12" t="inlineStr">
        <is>
          <t>Control permissions, overrides and audit for Kitchen Display System</t>
        </is>
      </c>
      <c r="E217" s="12" t="inlineStr">
        <is>
          <t>EPIC-07</t>
        </is>
      </c>
      <c r="F217" s="12" t="inlineStr">
        <is>
          <t>Food &amp; Beverage</t>
        </is>
      </c>
      <c r="G217" s="12" t="inlineStr">
        <is>
          <t>Kitchen</t>
        </is>
      </c>
      <c r="H217" s="11" t="inlineStr">
        <is>
          <t>SCR-012</t>
        </is>
      </c>
      <c r="I217" s="12" t="inlineStr">
        <is>
          <t>Kitchen Display System</t>
        </is>
      </c>
      <c r="J217" s="12" t="inlineStr">
        <is>
          <t>Security / Exceptions</t>
        </is>
      </c>
      <c r="K217" s="12" t="inlineStr">
        <is>
          <t>F&amp;B Manager</t>
        </is>
      </c>
      <c r="L217" s="12" t="inlineStr">
        <is>
          <t>As a department supervisor or auditor, I want sensitive actions in Kitchen Display System to follow permissions, approval limits and audit rules, so that resort operations remain secure, compliant and traceable.</t>
        </is>
      </c>
      <c r="M217" s="12" t="inlineStr">
        <is>
          <t>Reduces fraud, privacy leakage, unauthorized overrides and unresolved operational disputes.</t>
        </is>
      </c>
      <c r="N217" s="12" t="inlineStr">
        <is>
          <t>Roles, permissions, approval hierarchy and audit service are configured; allowed and denied test users exist.</t>
        </is>
      </c>
      <c r="O21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17" s="12" t="inlineStr">
        <is>
          <t>Tampered IDs, expired sessions, approval-limit violations and cross-tenant requests are rejected; secrets and sensitive guest/payment fields are never written to logs.</t>
        </is>
      </c>
      <c r="Q217" s="12" t="inlineStr">
        <is>
          <t>Tenant/property scope; required fields; optimistic locking; timezone-safe dates; reason mandatory for overrides; currency precision; tax/rate totals; approval limit; no unbalanced or duplicate posting</t>
        </is>
      </c>
      <c r="R217" s="12" t="inlineStr">
        <is>
          <t>Inventory, Finance, Guests</t>
        </is>
      </c>
      <c r="S217" s="12" t="inlineStr">
        <is>
          <t>GET, POST, PUT/PATCH, DELETE /api/v1/kitchen-display-system; lookup, validation and audit endpoints; idempotency for financial/booking writes; entities: outlets, tables, menu_items, pos_orders, pos_bills, kitchen_tickets</t>
        </is>
      </c>
      <c r="T217" s="12" t="inlineStr">
        <is>
          <t>Should Have</t>
        </is>
      </c>
      <c r="U217" s="12" t="inlineStr">
        <is>
          <t>Release 1.1</t>
        </is>
      </c>
      <c r="V217" s="34" t="n">
        <v>5</v>
      </c>
      <c r="W217" s="12" t="inlineStr">
        <is>
          <t>S12-S13</t>
        </is>
      </c>
      <c r="X217" s="12" t="inlineStr">
        <is>
          <t>Backlog</t>
        </is>
      </c>
      <c r="Y217" s="13">
        <f>IF(X217="Done",1,IF(X217="QA",0.9,IF(X217="Code Review",0.75,IF(X217="In Development",0.5,IF(X217="Ready",0.1,0)))))</f>
        <v/>
      </c>
      <c r="Z217" s="12" t="n"/>
      <c r="AA217" s="12" t="inlineStr">
        <is>
          <t>TC-012-C</t>
        </is>
      </c>
      <c r="AB217" s="12" t="inlineStr">
        <is>
          <t>Approved screen design; story reviewed with F&amp;B Manager; dependencies, API contract, role permissions and test data identified.</t>
        </is>
      </c>
      <c r="AC217" s="12" t="inlineStr">
        <is>
          <t>Code reviewed; unit, API, UI, RBAC and integration tests pass; accessibility and responsive states verified; audit evidence captured; product owner accepts in staging.</t>
        </is>
      </c>
      <c r="AD217" s="12" t="n"/>
    </row>
    <row r="218" ht="78" customHeight="1" s="43">
      <c r="A218" s="11" t="n">
        <v>2</v>
      </c>
      <c r="B218" s="11" t="n">
        <v>214</v>
      </c>
      <c r="C218" s="12" t="inlineStr">
        <is>
          <t>US-013-01</t>
        </is>
      </c>
      <c r="D218" s="12" t="inlineStr">
        <is>
          <t>View and find information in Restaurant POS</t>
        </is>
      </c>
      <c r="E218" s="12" t="inlineStr">
        <is>
          <t>EPIC-07</t>
        </is>
      </c>
      <c r="F218" s="12" t="inlineStr">
        <is>
          <t>Food &amp; Beverage</t>
        </is>
      </c>
      <c r="G218" s="12" t="inlineStr">
        <is>
          <t>Restaurant POS</t>
        </is>
      </c>
      <c r="H218" s="11" t="inlineStr">
        <is>
          <t>SCR-013</t>
        </is>
      </c>
      <c r="I218" s="12" t="inlineStr">
        <is>
          <t>Restaurant POS</t>
        </is>
      </c>
      <c r="J218" s="12" t="inlineStr">
        <is>
          <t>View / Search</t>
        </is>
      </c>
      <c r="K218" s="12" t="inlineStr">
        <is>
          <t>F&amp;B Manager</t>
        </is>
      </c>
      <c r="L218" s="12" t="inlineStr">
        <is>
          <t>As a F&amp;B Manager, I want to open Restaurant POS and find relevant records using search, filters and sorting, so that I can make accurate operational decisions.</t>
        </is>
      </c>
      <c r="M218" s="12" t="inlineStr">
        <is>
          <t>Provides timely visibility for restaurant pos and reduces manual lookup effort.</t>
        </is>
      </c>
      <c r="N218" s="12" t="inlineStr">
        <is>
          <t>Authenticated user; active property; view permission for Food &amp; Beverage; Inventory, Finance, Guests data available.</t>
        </is>
      </c>
      <c r="O218" s="12" t="inlineStr">
        <is>
          <t>Given I am authenticated as F&amp;B Manager with access to the selected property, when I open Restaurant POS,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18" s="12" t="inlineStr">
        <is>
          <t>Cross-property data never appears; unauthorized fields are masked; invalid filters do not break the screen; unavailable services return a controlled message.</t>
        </is>
      </c>
      <c r="Q218" s="12" t="inlineStr">
        <is>
          <t>Tenant/property scope; required fields; optimistic locking; timezone-safe dates; reason mandatory for overrides; currency precision; tax/rate totals; approval limit; no unbalanced or duplicate posting</t>
        </is>
      </c>
      <c r="R218" s="12" t="inlineStr">
        <is>
          <t>Inventory, Finance, Guests</t>
        </is>
      </c>
      <c r="S218" s="12" t="inlineStr">
        <is>
          <t>GET, POST, PUT/PATCH, DELETE /api/v1/restaurant-pos; lookup, validation and audit endpoints; idempotency for financial/booking writes; entities: outlets, tables, menu_items, pos_orders, pos_bills, kitchen_tickets</t>
        </is>
      </c>
      <c r="T218" s="12" t="inlineStr">
        <is>
          <t>Should Have</t>
        </is>
      </c>
      <c r="U218" s="12" t="inlineStr">
        <is>
          <t>Release 1.1</t>
        </is>
      </c>
      <c r="V218" s="34" t="n">
        <v>3</v>
      </c>
      <c r="W218" s="12" t="inlineStr">
        <is>
          <t>S12-S13</t>
        </is>
      </c>
      <c r="X218" s="12" t="inlineStr">
        <is>
          <t>Backlog</t>
        </is>
      </c>
      <c r="Y218" s="13">
        <f>IF(X218="Done",1,IF(X218="QA",0.9,IF(X218="Code Review",0.75,IF(X218="In Development",0.5,IF(X218="Ready",0.1,0)))))</f>
        <v/>
      </c>
      <c r="Z218" s="12" t="n"/>
      <c r="AA218" s="12" t="inlineStr">
        <is>
          <t>TC-013-A</t>
        </is>
      </c>
      <c r="AB218" s="12" t="inlineStr">
        <is>
          <t>Approved screen design; story reviewed with F&amp;B Manager; dependencies, API contract, role permissions and test data identified.</t>
        </is>
      </c>
      <c r="AC218" s="12" t="inlineStr">
        <is>
          <t>Code reviewed; unit, API, UI, RBAC and integration tests pass; accessibility and responsive states verified; audit evidence captured; product owner accepts in staging.</t>
        </is>
      </c>
      <c r="AD218" s="12" t="n"/>
    </row>
    <row r="219" ht="78" customHeight="1" s="43">
      <c r="A219" s="11" t="n">
        <v>2</v>
      </c>
      <c r="B219" s="11" t="n">
        <v>215</v>
      </c>
      <c r="C219" s="12" t="inlineStr">
        <is>
          <t>US-013-02</t>
        </is>
      </c>
      <c r="D219" s="12" t="inlineStr">
        <is>
          <t>Complete the primary Restaurant POS workflow</t>
        </is>
      </c>
      <c r="E219" s="12" t="inlineStr">
        <is>
          <t>EPIC-07</t>
        </is>
      </c>
      <c r="F219" s="12" t="inlineStr">
        <is>
          <t>Food &amp; Beverage</t>
        </is>
      </c>
      <c r="G219" s="12" t="inlineStr">
        <is>
          <t>Restaurant POS</t>
        </is>
      </c>
      <c r="H219" s="11" t="inlineStr">
        <is>
          <t>SCR-013</t>
        </is>
      </c>
      <c r="I219" s="12" t="inlineStr">
        <is>
          <t>Restaurant POS</t>
        </is>
      </c>
      <c r="J219" s="12" t="inlineStr">
        <is>
          <t>Primary Workflow</t>
        </is>
      </c>
      <c r="K219" s="12" t="inlineStr">
        <is>
          <t>F&amp;B Manager</t>
        </is>
      </c>
      <c r="L219" s="12" t="inlineStr">
        <is>
          <t>As a F&amp;B Manager, I want to list, search, filter, view, create, edit, cancel/delete under policy, export in Restaurant POS, so that the restaurant pos process is completed accurately without duplicate or inconsistent records.</t>
        </is>
      </c>
      <c r="M219" s="12" t="inlineStr">
        <is>
          <t>Enable food &amp; beverage users to manage restaurant pos through the Restaurant POS workflow with real-time status, validations and traceability.</t>
        </is>
      </c>
      <c r="N219" s="12" t="inlineStr">
        <is>
          <t>View access confirmed; required masters and linked records exist; Inventory, Finance, Guests services are available; approval limit is valid.</t>
        </is>
      </c>
      <c r="O21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restaurant pos workflow; invalid or conflicting actions are blocked with clear messages; saved changes appear in related screens; sensitive changes are auditable.</t>
        </is>
      </c>
      <c r="P219" s="12" t="inlineStr">
        <is>
          <t>Duplicate submission is idempotent; stale data returns a refresh/conflict message; invalid status transitions are blocked; partial failure rolls back without orphan records.</t>
        </is>
      </c>
      <c r="Q219" s="12" t="inlineStr">
        <is>
          <t>Tenant/property scope; required fields; optimistic locking; timezone-safe dates; reason mandatory for overrides; currency precision; tax/rate totals; approval limit; no unbalanced or duplicate posting</t>
        </is>
      </c>
      <c r="R219" s="12" t="inlineStr">
        <is>
          <t>Inventory, Finance, Guests</t>
        </is>
      </c>
      <c r="S219" s="12" t="inlineStr">
        <is>
          <t>GET, POST, PUT/PATCH, DELETE /api/v1/restaurant-pos; lookup, validation and audit endpoints; idempotency for financial/booking writes; entities: outlets, tables, menu_items, pos_orders, pos_bills, kitchen_tickets</t>
        </is>
      </c>
      <c r="T219" s="12" t="inlineStr">
        <is>
          <t>Should Have</t>
        </is>
      </c>
      <c r="U219" s="12" t="inlineStr">
        <is>
          <t>Release 1.1</t>
        </is>
      </c>
      <c r="V219" s="34" t="n">
        <v>8</v>
      </c>
      <c r="W219" s="12" t="inlineStr">
        <is>
          <t>S12-S13</t>
        </is>
      </c>
      <c r="X219" s="12" t="inlineStr">
        <is>
          <t>Backlog</t>
        </is>
      </c>
      <c r="Y219" s="13">
        <f>IF(X219="Done",1,IF(X219="QA",0.9,IF(X219="Code Review",0.75,IF(X219="In Development",0.5,IF(X219="Ready",0.1,0)))))</f>
        <v/>
      </c>
      <c r="Z219" s="12" t="n"/>
      <c r="AA219" s="12" t="inlineStr">
        <is>
          <t>TC-013-B</t>
        </is>
      </c>
      <c r="AB219" s="12" t="inlineStr">
        <is>
          <t>Approved screen design; story reviewed with F&amp;B Manager; dependencies, API contract, role permissions and test data identified.</t>
        </is>
      </c>
      <c r="AC219" s="12" t="inlineStr">
        <is>
          <t>Code reviewed; unit, API, UI, RBAC and integration tests pass; accessibility and responsive states verified; audit evidence captured; product owner accepts in staging.</t>
        </is>
      </c>
      <c r="AD219" s="12" t="n"/>
    </row>
    <row r="220" ht="78" customHeight="1" s="43">
      <c r="A220" s="11" t="n">
        <v>2</v>
      </c>
      <c r="B220" s="11" t="n">
        <v>216</v>
      </c>
      <c r="C220" s="12" t="inlineStr">
        <is>
          <t>US-013-03</t>
        </is>
      </c>
      <c r="D220" s="12" t="inlineStr">
        <is>
          <t>Control permissions, overrides and audit for Restaurant POS</t>
        </is>
      </c>
      <c r="E220" s="12" t="inlineStr">
        <is>
          <t>EPIC-07</t>
        </is>
      </c>
      <c r="F220" s="12" t="inlineStr">
        <is>
          <t>Food &amp; Beverage</t>
        </is>
      </c>
      <c r="G220" s="12" t="inlineStr">
        <is>
          <t>Restaurant POS</t>
        </is>
      </c>
      <c r="H220" s="11" t="inlineStr">
        <is>
          <t>SCR-013</t>
        </is>
      </c>
      <c r="I220" s="12" t="inlineStr">
        <is>
          <t>Restaurant POS</t>
        </is>
      </c>
      <c r="J220" s="12" t="inlineStr">
        <is>
          <t>Security / Exceptions</t>
        </is>
      </c>
      <c r="K220" s="12" t="inlineStr">
        <is>
          <t>F&amp;B Manager</t>
        </is>
      </c>
      <c r="L220" s="12" t="inlineStr">
        <is>
          <t>As a department supervisor or auditor, I want sensitive actions in Restaurant POS to follow permissions, approval limits and audit rules, so that resort operations remain secure, compliant and traceable.</t>
        </is>
      </c>
      <c r="M220" s="12" t="inlineStr">
        <is>
          <t>Reduces fraud, privacy leakage, unauthorized overrides and unresolved operational disputes.</t>
        </is>
      </c>
      <c r="N220" s="12" t="inlineStr">
        <is>
          <t>Roles, permissions, approval hierarchy and audit service are configured; allowed and denied test users exist.</t>
        </is>
      </c>
      <c r="O22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20" s="12" t="inlineStr">
        <is>
          <t>Tampered IDs, expired sessions, approval-limit violations and cross-tenant requests are rejected; secrets and sensitive guest/payment fields are never written to logs.</t>
        </is>
      </c>
      <c r="Q220" s="12" t="inlineStr">
        <is>
          <t>Tenant/property scope; required fields; optimistic locking; timezone-safe dates; reason mandatory for overrides; currency precision; tax/rate totals; approval limit; no unbalanced or duplicate posting</t>
        </is>
      </c>
      <c r="R220" s="12" t="inlineStr">
        <is>
          <t>Inventory, Finance, Guests</t>
        </is>
      </c>
      <c r="S220" s="12" t="inlineStr">
        <is>
          <t>GET, POST, PUT/PATCH, DELETE /api/v1/restaurant-pos; lookup, validation and audit endpoints; idempotency for financial/booking writes; entities: outlets, tables, menu_items, pos_orders, pos_bills, kitchen_tickets</t>
        </is>
      </c>
      <c r="T220" s="12" t="inlineStr">
        <is>
          <t>Should Have</t>
        </is>
      </c>
      <c r="U220" s="12" t="inlineStr">
        <is>
          <t>Release 1.1</t>
        </is>
      </c>
      <c r="V220" s="34" t="n">
        <v>5</v>
      </c>
      <c r="W220" s="12" t="inlineStr">
        <is>
          <t>S12-S13</t>
        </is>
      </c>
      <c r="X220" s="12" t="inlineStr">
        <is>
          <t>Backlog</t>
        </is>
      </c>
      <c r="Y220" s="13">
        <f>IF(X220="Done",1,IF(X220="QA",0.9,IF(X220="Code Review",0.75,IF(X220="In Development",0.5,IF(X220="Ready",0.1,0)))))</f>
        <v/>
      </c>
      <c r="Z220" s="12" t="n"/>
      <c r="AA220" s="12" t="inlineStr">
        <is>
          <t>TC-013-C</t>
        </is>
      </c>
      <c r="AB220" s="12" t="inlineStr">
        <is>
          <t>Approved screen design; story reviewed with F&amp;B Manager; dependencies, API contract, role permissions and test data identified.</t>
        </is>
      </c>
      <c r="AC220" s="12" t="inlineStr">
        <is>
          <t>Code reviewed; unit, API, UI, RBAC and integration tests pass; accessibility and responsive states verified; audit evidence captured; product owner accepts in staging.</t>
        </is>
      </c>
      <c r="AD220" s="12" t="n"/>
    </row>
    <row r="221" ht="78" customHeight="1" s="43">
      <c r="A221" s="11" t="n">
        <v>2</v>
      </c>
      <c r="B221" s="11" t="n">
        <v>217</v>
      </c>
      <c r="C221" s="12" t="inlineStr">
        <is>
          <t>US-077-01</t>
        </is>
      </c>
      <c r="D221" s="12" t="inlineStr">
        <is>
          <t>View and find information in Restaurant Table and Floor Plan</t>
        </is>
      </c>
      <c r="E221" s="12" t="inlineStr">
        <is>
          <t>EPIC-07</t>
        </is>
      </c>
      <c r="F221" s="12" t="inlineStr">
        <is>
          <t>Food &amp; Beverage</t>
        </is>
      </c>
      <c r="G221" s="12" t="inlineStr">
        <is>
          <t>Restaurant Layout</t>
        </is>
      </c>
      <c r="H221" s="11" t="inlineStr">
        <is>
          <t>SCR-077</t>
        </is>
      </c>
      <c r="I221" s="12" t="inlineStr">
        <is>
          <t>Restaurant Table and Floor Plan</t>
        </is>
      </c>
      <c r="J221" s="12" t="inlineStr">
        <is>
          <t>View / Search</t>
        </is>
      </c>
      <c r="K221" s="12" t="inlineStr">
        <is>
          <t>F&amp;B Manager</t>
        </is>
      </c>
      <c r="L221" s="12" t="inlineStr">
        <is>
          <t>As a F&amp;B Manager, I want to open Restaurant Table and Floor Plan and find relevant records using search, filters and sorting, so that I can make accurate operational decisions.</t>
        </is>
      </c>
      <c r="M221" s="12" t="inlineStr">
        <is>
          <t>Provides timely visibility for restaurant layout and reduces manual lookup effort.</t>
        </is>
      </c>
      <c r="N221" s="12" t="inlineStr">
        <is>
          <t>Authenticated user; active property; view permission for Food &amp; Beverage; Inventory, Finance, Guests data available.</t>
        </is>
      </c>
      <c r="O221" s="12" t="inlineStr">
        <is>
          <t>Given I am authenticated as F&amp;B Manager with access to the selected property, when I open Restaurant Table and Floor Plan,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21" s="12" t="inlineStr">
        <is>
          <t>Cross-property data never appears; unauthorized fields are masked; invalid filters do not break the screen; unavailable services return a controlled message.</t>
        </is>
      </c>
      <c r="Q221" s="12" t="inlineStr">
        <is>
          <t>Tenant/property scope; required fields; optimistic locking; timezone-safe dates; reason mandatory for overrides; currency precision; tax/rate totals; approval limit; no unbalanced or duplicate posting</t>
        </is>
      </c>
      <c r="R221" s="12" t="inlineStr">
        <is>
          <t>Inventory, Finance, Guests</t>
        </is>
      </c>
      <c r="S221" s="12" t="inlineStr">
        <is>
          <t>GET, POST, PUT/PATCH, DELETE /api/v1/restaurant-table-and-floor-plan; lookup, validation and audit endpoints; idempotency for financial/booking writes; entities: outlets, tables, menu_items, pos_orders, pos_bills, kitchen_tickets</t>
        </is>
      </c>
      <c r="T221" s="12" t="inlineStr">
        <is>
          <t>Should Have</t>
        </is>
      </c>
      <c r="U221" s="12" t="inlineStr">
        <is>
          <t>Release 1.1</t>
        </is>
      </c>
      <c r="V221" s="34" t="n">
        <v>3</v>
      </c>
      <c r="W221" s="12" t="inlineStr">
        <is>
          <t>S12-S13</t>
        </is>
      </c>
      <c r="X221" s="12" t="inlineStr">
        <is>
          <t>Backlog</t>
        </is>
      </c>
      <c r="Y221" s="13">
        <f>IF(X221="Done",1,IF(X221="QA",0.9,IF(X221="Code Review",0.75,IF(X221="In Development",0.5,IF(X221="Ready",0.1,0)))))</f>
        <v/>
      </c>
      <c r="Z221" s="12" t="n"/>
      <c r="AA221" s="12" t="inlineStr">
        <is>
          <t>TC-077-A</t>
        </is>
      </c>
      <c r="AB221" s="12" t="inlineStr">
        <is>
          <t>Approved screen design; story reviewed with F&amp;B Manager; dependencies, API contract, role permissions and test data identified.</t>
        </is>
      </c>
      <c r="AC221" s="12" t="inlineStr">
        <is>
          <t>Code reviewed; unit, API, UI, RBAC and integration tests pass; accessibility and responsive states verified; audit evidence captured; product owner accepts in staging.</t>
        </is>
      </c>
      <c r="AD221" s="12" t="n"/>
    </row>
    <row r="222" ht="78" customHeight="1" s="43">
      <c r="A222" s="11" t="n">
        <v>2</v>
      </c>
      <c r="B222" s="11" t="n">
        <v>218</v>
      </c>
      <c r="C222" s="12" t="inlineStr">
        <is>
          <t>US-077-02</t>
        </is>
      </c>
      <c r="D222" s="12" t="inlineStr">
        <is>
          <t>Complete the primary Restaurant Table and Floor Plan workflow</t>
        </is>
      </c>
      <c r="E222" s="12" t="inlineStr">
        <is>
          <t>EPIC-07</t>
        </is>
      </c>
      <c r="F222" s="12" t="inlineStr">
        <is>
          <t>Food &amp; Beverage</t>
        </is>
      </c>
      <c r="G222" s="12" t="inlineStr">
        <is>
          <t>Restaurant Layout</t>
        </is>
      </c>
      <c r="H222" s="11" t="inlineStr">
        <is>
          <t>SCR-077</t>
        </is>
      </c>
      <c r="I222" s="12" t="inlineStr">
        <is>
          <t>Restaurant Table and Floor Plan</t>
        </is>
      </c>
      <c r="J222" s="12" t="inlineStr">
        <is>
          <t>Primary Workflow</t>
        </is>
      </c>
      <c r="K222" s="12" t="inlineStr">
        <is>
          <t>F&amp;B Manager</t>
        </is>
      </c>
      <c r="L222" s="12" t="inlineStr">
        <is>
          <t>As a F&amp;B Manager, I want to list, search, filter, view, create, edit, cancel/delete under policy, export in Restaurant Table and Floor Plan, so that the restaurant layout process is completed accurately without duplicate or inconsistent records.</t>
        </is>
      </c>
      <c r="M222" s="12" t="inlineStr">
        <is>
          <t>Enable food &amp; beverage users to manage restaurant layout through the Restaurant Table and Floor Plan workflow with real-time status, validations and traceability.</t>
        </is>
      </c>
      <c r="N222" s="12" t="inlineStr">
        <is>
          <t>View access confirmed; required masters and linked records exist; Inventory, Finance, Guests services are available; approval limit is valid.</t>
        </is>
      </c>
      <c r="O22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restaurant table and floor plan workflow; invalid or conflicting actions are blocked with clear messages; saved changes appear in related screens; sensitive changes are auditable.</t>
        </is>
      </c>
      <c r="P222" s="12" t="inlineStr">
        <is>
          <t>Duplicate submission is idempotent; stale data returns a refresh/conflict message; invalid status transitions are blocked; partial failure rolls back without orphan records.</t>
        </is>
      </c>
      <c r="Q222" s="12" t="inlineStr">
        <is>
          <t>Tenant/property scope; required fields; optimistic locking; timezone-safe dates; reason mandatory for overrides; currency precision; tax/rate totals; approval limit; no unbalanced or duplicate posting</t>
        </is>
      </c>
      <c r="R222" s="12" t="inlineStr">
        <is>
          <t>Inventory, Finance, Guests</t>
        </is>
      </c>
      <c r="S222" s="12" t="inlineStr">
        <is>
          <t>GET, POST, PUT/PATCH, DELETE /api/v1/restaurant-table-and-floor-plan; lookup, validation and audit endpoints; idempotency for financial/booking writes; entities: outlets, tables, menu_items, pos_orders, pos_bills, kitchen_tickets</t>
        </is>
      </c>
      <c r="T222" s="12" t="inlineStr">
        <is>
          <t>Should Have</t>
        </is>
      </c>
      <c r="U222" s="12" t="inlineStr">
        <is>
          <t>Release 1.1</t>
        </is>
      </c>
      <c r="V222" s="34" t="n">
        <v>8</v>
      </c>
      <c r="W222" s="12" t="inlineStr">
        <is>
          <t>S12-S13</t>
        </is>
      </c>
      <c r="X222" s="12" t="inlineStr">
        <is>
          <t>Backlog</t>
        </is>
      </c>
      <c r="Y222" s="13">
        <f>IF(X222="Done",1,IF(X222="QA",0.9,IF(X222="Code Review",0.75,IF(X222="In Development",0.5,IF(X222="Ready",0.1,0)))))</f>
        <v/>
      </c>
      <c r="Z222" s="12" t="n"/>
      <c r="AA222" s="12" t="inlineStr">
        <is>
          <t>TC-077-B</t>
        </is>
      </c>
      <c r="AB222" s="12" t="inlineStr">
        <is>
          <t>Approved screen design; story reviewed with F&amp;B Manager; dependencies, API contract, role permissions and test data identified.</t>
        </is>
      </c>
      <c r="AC222" s="12" t="inlineStr">
        <is>
          <t>Code reviewed; unit, API, UI, RBAC and integration tests pass; accessibility and responsive states verified; audit evidence captured; product owner accepts in staging.</t>
        </is>
      </c>
      <c r="AD222" s="12" t="n"/>
    </row>
    <row r="223" ht="78" customHeight="1" s="43">
      <c r="A223" s="11" t="n">
        <v>2</v>
      </c>
      <c r="B223" s="11" t="n">
        <v>219</v>
      </c>
      <c r="C223" s="12" t="inlineStr">
        <is>
          <t>US-077-03</t>
        </is>
      </c>
      <c r="D223" s="12" t="inlineStr">
        <is>
          <t>Control permissions, overrides and audit for Restaurant Table and Floor Plan</t>
        </is>
      </c>
      <c r="E223" s="12" t="inlineStr">
        <is>
          <t>EPIC-07</t>
        </is>
      </c>
      <c r="F223" s="12" t="inlineStr">
        <is>
          <t>Food &amp; Beverage</t>
        </is>
      </c>
      <c r="G223" s="12" t="inlineStr">
        <is>
          <t>Restaurant Layout</t>
        </is>
      </c>
      <c r="H223" s="11" t="inlineStr">
        <is>
          <t>SCR-077</t>
        </is>
      </c>
      <c r="I223" s="12" t="inlineStr">
        <is>
          <t>Restaurant Table and Floor Plan</t>
        </is>
      </c>
      <c r="J223" s="12" t="inlineStr">
        <is>
          <t>Security / Exceptions</t>
        </is>
      </c>
      <c r="K223" s="12" t="inlineStr">
        <is>
          <t>F&amp;B Manager</t>
        </is>
      </c>
      <c r="L223" s="12" t="inlineStr">
        <is>
          <t>As a department supervisor or auditor, I want sensitive actions in Restaurant Table and Floor Plan to follow permissions, approval limits and audit rules, so that resort operations remain secure, compliant and traceable.</t>
        </is>
      </c>
      <c r="M223" s="12" t="inlineStr">
        <is>
          <t>Reduces fraud, privacy leakage, unauthorized overrides and unresolved operational disputes.</t>
        </is>
      </c>
      <c r="N223" s="12" t="inlineStr">
        <is>
          <t>Roles, permissions, approval hierarchy and audit service are configured; allowed and denied test users exist.</t>
        </is>
      </c>
      <c r="O22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23" s="12" t="inlineStr">
        <is>
          <t>Tampered IDs, expired sessions, approval-limit violations and cross-tenant requests are rejected; secrets and sensitive guest/payment fields are never written to logs.</t>
        </is>
      </c>
      <c r="Q223" s="12" t="inlineStr">
        <is>
          <t>Tenant/property scope; required fields; optimistic locking; timezone-safe dates; reason mandatory for overrides; currency precision; tax/rate totals; approval limit; no unbalanced or duplicate posting</t>
        </is>
      </c>
      <c r="R223" s="12" t="inlineStr">
        <is>
          <t>Inventory, Finance, Guests</t>
        </is>
      </c>
      <c r="S223" s="12" t="inlineStr">
        <is>
          <t>GET, POST, PUT/PATCH, DELETE /api/v1/restaurant-table-and-floor-plan; lookup, validation and audit endpoints; idempotency for financial/booking writes; entities: outlets, tables, menu_items, pos_orders, pos_bills, kitchen_tickets</t>
        </is>
      </c>
      <c r="T223" s="12" t="inlineStr">
        <is>
          <t>Should Have</t>
        </is>
      </c>
      <c r="U223" s="12" t="inlineStr">
        <is>
          <t>Release 1.1</t>
        </is>
      </c>
      <c r="V223" s="34" t="n">
        <v>5</v>
      </c>
      <c r="W223" s="12" t="inlineStr">
        <is>
          <t>S12-S13</t>
        </is>
      </c>
      <c r="X223" s="12" t="inlineStr">
        <is>
          <t>Backlog</t>
        </is>
      </c>
      <c r="Y223" s="13">
        <f>IF(X223="Done",1,IF(X223="QA",0.9,IF(X223="Code Review",0.75,IF(X223="In Development",0.5,IF(X223="Ready",0.1,0)))))</f>
        <v/>
      </c>
      <c r="Z223" s="12" t="n"/>
      <c r="AA223" s="12" t="inlineStr">
        <is>
          <t>TC-077-C</t>
        </is>
      </c>
      <c r="AB223" s="12" t="inlineStr">
        <is>
          <t>Approved screen design; story reviewed with F&amp;B Manager; dependencies, API contract, role permissions and test data identified.</t>
        </is>
      </c>
      <c r="AC223" s="12" t="inlineStr">
        <is>
          <t>Code reviewed; unit, API, UI, RBAC and integration tests pass; accessibility and responsive states verified; audit evidence captured; product owner accepts in staging.</t>
        </is>
      </c>
      <c r="AD223" s="12" t="n"/>
    </row>
    <row r="224" ht="78" customHeight="1" s="43">
      <c r="A224" s="11" t="n">
        <v>2</v>
      </c>
      <c r="B224" s="11" t="n">
        <v>220</v>
      </c>
      <c r="C224" s="12" t="inlineStr">
        <is>
          <t>US-078-01</t>
        </is>
      </c>
      <c r="D224" s="12" t="inlineStr">
        <is>
          <t>View and find information in POS Order Details</t>
        </is>
      </c>
      <c r="E224" s="12" t="inlineStr">
        <is>
          <t>EPIC-07</t>
        </is>
      </c>
      <c r="F224" s="12" t="inlineStr">
        <is>
          <t>Food &amp; Beverage</t>
        </is>
      </c>
      <c r="G224" s="12" t="inlineStr">
        <is>
          <t>Order Management</t>
        </is>
      </c>
      <c r="H224" s="11" t="inlineStr">
        <is>
          <t>SCR-078</t>
        </is>
      </c>
      <c r="I224" s="12" t="inlineStr">
        <is>
          <t>POS Order Details</t>
        </is>
      </c>
      <c r="J224" s="12" t="inlineStr">
        <is>
          <t>View / Search</t>
        </is>
      </c>
      <c r="K224" s="12" t="inlineStr">
        <is>
          <t>F&amp;B Manager</t>
        </is>
      </c>
      <c r="L224" s="12" t="inlineStr">
        <is>
          <t>As a F&amp;B Manager, I want to open POS Order Details and find relevant records using search, filters and sorting, so that I can make accurate operational decisions.</t>
        </is>
      </c>
      <c r="M224" s="12" t="inlineStr">
        <is>
          <t>Provides timely visibility for order management and reduces manual lookup effort.</t>
        </is>
      </c>
      <c r="N224" s="12" t="inlineStr">
        <is>
          <t>Authenticated user; active property; view permission for Food &amp; Beverage; Inventory, Finance, Guests data available.</t>
        </is>
      </c>
      <c r="O224" s="12" t="inlineStr">
        <is>
          <t>Given I am authenticated as F&amp;B Manager with access to the selected property, when I open POS Order Details,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24" s="12" t="inlineStr">
        <is>
          <t>Cross-property data never appears; unauthorized fields are masked; invalid filters do not break the screen; unavailable services return a controlled message.</t>
        </is>
      </c>
      <c r="Q224" s="12" t="inlineStr">
        <is>
          <t>Tenant/property scope; required fields; optimistic locking; timezone-safe dates; reason mandatory for overrides; currency precision; tax/rate totals; approval limit; no unbalanced or duplicate posting</t>
        </is>
      </c>
      <c r="R224" s="12" t="inlineStr">
        <is>
          <t>Inventory, Finance, Guests</t>
        </is>
      </c>
      <c r="S224" s="12" t="inlineStr">
        <is>
          <t>GET, POST, PUT/PATCH, DELETE /api/v1/pos-order-details; lookup, validation and audit endpoints; idempotency for financial/booking writes; entities: outlets, tables, menu_items, pos_orders, pos_bills, kitchen_tickets</t>
        </is>
      </c>
      <c r="T224" s="12" t="inlineStr">
        <is>
          <t>Should Have</t>
        </is>
      </c>
      <c r="U224" s="12" t="inlineStr">
        <is>
          <t>Release 1.1</t>
        </is>
      </c>
      <c r="V224" s="34" t="n">
        <v>3</v>
      </c>
      <c r="W224" s="12" t="inlineStr">
        <is>
          <t>S12-S13</t>
        </is>
      </c>
      <c r="X224" s="12" t="inlineStr">
        <is>
          <t>Backlog</t>
        </is>
      </c>
      <c r="Y224" s="13">
        <f>IF(X224="Done",1,IF(X224="QA",0.9,IF(X224="Code Review",0.75,IF(X224="In Development",0.5,IF(X224="Ready",0.1,0)))))</f>
        <v/>
      </c>
      <c r="Z224" s="12" t="n"/>
      <c r="AA224" s="12" t="inlineStr">
        <is>
          <t>TC-078-A</t>
        </is>
      </c>
      <c r="AB224" s="12" t="inlineStr">
        <is>
          <t>Approved screen design; story reviewed with F&amp;B Manager; dependencies, API contract, role permissions and test data identified.</t>
        </is>
      </c>
      <c r="AC224" s="12" t="inlineStr">
        <is>
          <t>Code reviewed; unit, API, UI, RBAC and integration tests pass; accessibility and responsive states verified; audit evidence captured; product owner accepts in staging.</t>
        </is>
      </c>
      <c r="AD224" s="12" t="n"/>
    </row>
    <row r="225" ht="78" customHeight="1" s="43">
      <c r="A225" s="11" t="n">
        <v>2</v>
      </c>
      <c r="B225" s="11" t="n">
        <v>221</v>
      </c>
      <c r="C225" s="12" t="inlineStr">
        <is>
          <t>US-078-02</t>
        </is>
      </c>
      <c r="D225" s="12" t="inlineStr">
        <is>
          <t>Complete the primary POS Order Details workflow</t>
        </is>
      </c>
      <c r="E225" s="12" t="inlineStr">
        <is>
          <t>EPIC-07</t>
        </is>
      </c>
      <c r="F225" s="12" t="inlineStr">
        <is>
          <t>Food &amp; Beverage</t>
        </is>
      </c>
      <c r="G225" s="12" t="inlineStr">
        <is>
          <t>Order Management</t>
        </is>
      </c>
      <c r="H225" s="11" t="inlineStr">
        <is>
          <t>SCR-078</t>
        </is>
      </c>
      <c r="I225" s="12" t="inlineStr">
        <is>
          <t>POS Order Details</t>
        </is>
      </c>
      <c r="J225" s="12" t="inlineStr">
        <is>
          <t>Primary Workflow</t>
        </is>
      </c>
      <c r="K225" s="12" t="inlineStr">
        <is>
          <t>F&amp;B Manager</t>
        </is>
      </c>
      <c r="L225" s="12" t="inlineStr">
        <is>
          <t>As a F&amp;B Manager, I want to list, search, filter, view, create, edit, cancel/delete under policy, export in POS Order Details, so that the order management process is completed accurately without duplicate or inconsistent records.</t>
        </is>
      </c>
      <c r="M225" s="12" t="inlineStr">
        <is>
          <t>Enable food &amp; beverage users to manage order management through the POS Order Details workflow with real-time status, validations and traceability.</t>
        </is>
      </c>
      <c r="N225" s="12" t="inlineStr">
        <is>
          <t>View access confirmed; required masters and linked records exist; Inventory, Finance, Guests services are available; approval limit is valid.</t>
        </is>
      </c>
      <c r="O22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pos order details workflow; invalid or conflicting actions are blocked with clear messages; saved changes appear in related screens; sensitive changes are auditable.</t>
        </is>
      </c>
      <c r="P225" s="12" t="inlineStr">
        <is>
          <t>Duplicate submission is idempotent; stale data returns a refresh/conflict message; invalid status transitions are blocked; partial failure rolls back without orphan records.</t>
        </is>
      </c>
      <c r="Q225" s="12" t="inlineStr">
        <is>
          <t>Tenant/property scope; required fields; optimistic locking; timezone-safe dates; reason mandatory for overrides; currency precision; tax/rate totals; approval limit; no unbalanced or duplicate posting</t>
        </is>
      </c>
      <c r="R225" s="12" t="inlineStr">
        <is>
          <t>Inventory, Finance, Guests</t>
        </is>
      </c>
      <c r="S225" s="12" t="inlineStr">
        <is>
          <t>GET, POST, PUT/PATCH, DELETE /api/v1/pos-order-details; lookup, validation and audit endpoints; idempotency for financial/booking writes; entities: outlets, tables, menu_items, pos_orders, pos_bills, kitchen_tickets</t>
        </is>
      </c>
      <c r="T225" s="12" t="inlineStr">
        <is>
          <t>Should Have</t>
        </is>
      </c>
      <c r="U225" s="12" t="inlineStr">
        <is>
          <t>Release 1.1</t>
        </is>
      </c>
      <c r="V225" s="34" t="n">
        <v>8</v>
      </c>
      <c r="W225" s="12" t="inlineStr">
        <is>
          <t>S12-S13</t>
        </is>
      </c>
      <c r="X225" s="12" t="inlineStr">
        <is>
          <t>Backlog</t>
        </is>
      </c>
      <c r="Y225" s="13">
        <f>IF(X225="Done",1,IF(X225="QA",0.9,IF(X225="Code Review",0.75,IF(X225="In Development",0.5,IF(X225="Ready",0.1,0)))))</f>
        <v/>
      </c>
      <c r="Z225" s="12" t="n"/>
      <c r="AA225" s="12" t="inlineStr">
        <is>
          <t>TC-078-B</t>
        </is>
      </c>
      <c r="AB225" s="12" t="inlineStr">
        <is>
          <t>Approved screen design; story reviewed with F&amp;B Manager; dependencies, API contract, role permissions and test data identified.</t>
        </is>
      </c>
      <c r="AC225" s="12" t="inlineStr">
        <is>
          <t>Code reviewed; unit, API, UI, RBAC and integration tests pass; accessibility and responsive states verified; audit evidence captured; product owner accepts in staging.</t>
        </is>
      </c>
      <c r="AD225" s="12" t="n"/>
    </row>
    <row r="226" ht="78" customHeight="1" s="43">
      <c r="A226" s="11" t="n">
        <v>2</v>
      </c>
      <c r="B226" s="11" t="n">
        <v>222</v>
      </c>
      <c r="C226" s="12" t="inlineStr">
        <is>
          <t>US-078-03</t>
        </is>
      </c>
      <c r="D226" s="12" t="inlineStr">
        <is>
          <t>Control permissions, overrides and audit for POS Order Details</t>
        </is>
      </c>
      <c r="E226" s="12" t="inlineStr">
        <is>
          <t>EPIC-07</t>
        </is>
      </c>
      <c r="F226" s="12" t="inlineStr">
        <is>
          <t>Food &amp; Beverage</t>
        </is>
      </c>
      <c r="G226" s="12" t="inlineStr">
        <is>
          <t>Order Management</t>
        </is>
      </c>
      <c r="H226" s="11" t="inlineStr">
        <is>
          <t>SCR-078</t>
        </is>
      </c>
      <c r="I226" s="12" t="inlineStr">
        <is>
          <t>POS Order Details</t>
        </is>
      </c>
      <c r="J226" s="12" t="inlineStr">
        <is>
          <t>Security / Exceptions</t>
        </is>
      </c>
      <c r="K226" s="12" t="inlineStr">
        <is>
          <t>F&amp;B Manager</t>
        </is>
      </c>
      <c r="L226" s="12" t="inlineStr">
        <is>
          <t>As a department supervisor or auditor, I want sensitive actions in POS Order Details to follow permissions, approval limits and audit rules, so that resort operations remain secure, compliant and traceable.</t>
        </is>
      </c>
      <c r="M226" s="12" t="inlineStr">
        <is>
          <t>Reduces fraud, privacy leakage, unauthorized overrides and unresolved operational disputes.</t>
        </is>
      </c>
      <c r="N226" s="12" t="inlineStr">
        <is>
          <t>Roles, permissions, approval hierarchy and audit service are configured; allowed and denied test users exist.</t>
        </is>
      </c>
      <c r="O22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26" s="12" t="inlineStr">
        <is>
          <t>Tampered IDs, expired sessions, approval-limit violations and cross-tenant requests are rejected; secrets and sensitive guest/payment fields are never written to logs.</t>
        </is>
      </c>
      <c r="Q226" s="12" t="inlineStr">
        <is>
          <t>Tenant/property scope; required fields; optimistic locking; timezone-safe dates; reason mandatory for overrides; currency precision; tax/rate totals; approval limit; no unbalanced or duplicate posting</t>
        </is>
      </c>
      <c r="R226" s="12" t="inlineStr">
        <is>
          <t>Inventory, Finance, Guests</t>
        </is>
      </c>
      <c r="S226" s="12" t="inlineStr">
        <is>
          <t>GET, POST, PUT/PATCH, DELETE /api/v1/pos-order-details; lookup, validation and audit endpoints; idempotency for financial/booking writes; entities: outlets, tables, menu_items, pos_orders, pos_bills, kitchen_tickets</t>
        </is>
      </c>
      <c r="T226" s="12" t="inlineStr">
        <is>
          <t>Should Have</t>
        </is>
      </c>
      <c r="U226" s="12" t="inlineStr">
        <is>
          <t>Release 1.1</t>
        </is>
      </c>
      <c r="V226" s="34" t="n">
        <v>5</v>
      </c>
      <c r="W226" s="12" t="inlineStr">
        <is>
          <t>S12-S13</t>
        </is>
      </c>
      <c r="X226" s="12" t="inlineStr">
        <is>
          <t>Backlog</t>
        </is>
      </c>
      <c r="Y226" s="13">
        <f>IF(X226="Done",1,IF(X226="QA",0.9,IF(X226="Code Review",0.75,IF(X226="In Development",0.5,IF(X226="Ready",0.1,0)))))</f>
        <v/>
      </c>
      <c r="Z226" s="12" t="n"/>
      <c r="AA226" s="12" t="inlineStr">
        <is>
          <t>TC-078-C</t>
        </is>
      </c>
      <c r="AB226" s="12" t="inlineStr">
        <is>
          <t>Approved screen design; story reviewed with F&amp;B Manager; dependencies, API contract, role permissions and test data identified.</t>
        </is>
      </c>
      <c r="AC226" s="12" t="inlineStr">
        <is>
          <t>Code reviewed; unit, API, UI, RBAC and integration tests pass; accessibility and responsive states verified; audit evidence captured; product owner accepts in staging.</t>
        </is>
      </c>
      <c r="AD226" s="12" t="n"/>
    </row>
    <row r="227" ht="78" customHeight="1" s="43">
      <c r="A227" s="11" t="n">
        <v>2</v>
      </c>
      <c r="B227" s="11" t="n">
        <v>223</v>
      </c>
      <c r="C227" s="12" t="inlineStr">
        <is>
          <t>US-079-01</t>
        </is>
      </c>
      <c r="D227" s="12" t="inlineStr">
        <is>
          <t>View and find information in Modify POS Order</t>
        </is>
      </c>
      <c r="E227" s="12" t="inlineStr">
        <is>
          <t>EPIC-07</t>
        </is>
      </c>
      <c r="F227" s="12" t="inlineStr">
        <is>
          <t>Food &amp; Beverage</t>
        </is>
      </c>
      <c r="G227" s="12" t="inlineStr">
        <is>
          <t>Order Management</t>
        </is>
      </c>
      <c r="H227" s="11" t="inlineStr">
        <is>
          <t>SCR-079</t>
        </is>
      </c>
      <c r="I227" s="12" t="inlineStr">
        <is>
          <t>Modify POS Order</t>
        </is>
      </c>
      <c r="J227" s="12" t="inlineStr">
        <is>
          <t>View / Search</t>
        </is>
      </c>
      <c r="K227" s="12" t="inlineStr">
        <is>
          <t>F&amp;B Manager</t>
        </is>
      </c>
      <c r="L227" s="12" t="inlineStr">
        <is>
          <t>As a F&amp;B Manager, I want to open Modify POS Order and find relevant records using search, filters and sorting, so that I can make accurate operational decisions.</t>
        </is>
      </c>
      <c r="M227" s="12" t="inlineStr">
        <is>
          <t>Provides timely visibility for order management and reduces manual lookup effort.</t>
        </is>
      </c>
      <c r="N227" s="12" t="inlineStr">
        <is>
          <t>Authenticated user; active property; view permission for Food &amp; Beverage; Inventory, Finance, Guests data available.</t>
        </is>
      </c>
      <c r="O227" s="12" t="inlineStr">
        <is>
          <t>Given I am authenticated as F&amp;B Manager with access to the selected property, when I open Modify POS Order,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27" s="12" t="inlineStr">
        <is>
          <t>Cross-property data never appears; unauthorized fields are masked; invalid filters do not break the screen; unavailable services return a controlled message.</t>
        </is>
      </c>
      <c r="Q227" s="12" t="inlineStr">
        <is>
          <t>Tenant/property scope; required fields; optimistic locking; timezone-safe dates; reason mandatory for overrides; currency precision; tax/rate totals; approval limit; no unbalanced or duplicate posting</t>
        </is>
      </c>
      <c r="R227" s="12" t="inlineStr">
        <is>
          <t>Inventory, Finance, Guests</t>
        </is>
      </c>
      <c r="S227" s="12" t="inlineStr">
        <is>
          <t>GET, POST, PUT/PATCH, DELETE /api/v1/modify-pos-order; lookup, validation and audit endpoints; idempotency for financial/booking writes; entities: outlets, tables, menu_items, pos_orders, pos_bills, kitchen_tickets</t>
        </is>
      </c>
      <c r="T227" s="12" t="inlineStr">
        <is>
          <t>Should Have</t>
        </is>
      </c>
      <c r="U227" s="12" t="inlineStr">
        <is>
          <t>Release 1.1</t>
        </is>
      </c>
      <c r="V227" s="34" t="n">
        <v>3</v>
      </c>
      <c r="W227" s="12" t="inlineStr">
        <is>
          <t>S12-S13</t>
        </is>
      </c>
      <c r="X227" s="12" t="inlineStr">
        <is>
          <t>Backlog</t>
        </is>
      </c>
      <c r="Y227" s="13">
        <f>IF(X227="Done",1,IF(X227="QA",0.9,IF(X227="Code Review",0.75,IF(X227="In Development",0.5,IF(X227="Ready",0.1,0)))))</f>
        <v/>
      </c>
      <c r="Z227" s="12" t="n"/>
      <c r="AA227" s="12" t="inlineStr">
        <is>
          <t>TC-079-A</t>
        </is>
      </c>
      <c r="AB227" s="12" t="inlineStr">
        <is>
          <t>Approved screen design; story reviewed with F&amp;B Manager; dependencies, API contract, role permissions and test data identified.</t>
        </is>
      </c>
      <c r="AC227" s="12" t="inlineStr">
        <is>
          <t>Code reviewed; unit, API, UI, RBAC and integration tests pass; accessibility and responsive states verified; audit evidence captured; product owner accepts in staging.</t>
        </is>
      </c>
      <c r="AD227" s="12" t="n"/>
    </row>
    <row r="228" ht="78" customHeight="1" s="43">
      <c r="A228" s="11" t="n">
        <v>2</v>
      </c>
      <c r="B228" s="11" t="n">
        <v>224</v>
      </c>
      <c r="C228" s="12" t="inlineStr">
        <is>
          <t>US-079-02</t>
        </is>
      </c>
      <c r="D228" s="12" t="inlineStr">
        <is>
          <t>Complete the primary Modify POS Order workflow</t>
        </is>
      </c>
      <c r="E228" s="12" t="inlineStr">
        <is>
          <t>EPIC-07</t>
        </is>
      </c>
      <c r="F228" s="12" t="inlineStr">
        <is>
          <t>Food &amp; Beverage</t>
        </is>
      </c>
      <c r="G228" s="12" t="inlineStr">
        <is>
          <t>Order Management</t>
        </is>
      </c>
      <c r="H228" s="11" t="inlineStr">
        <is>
          <t>SCR-079</t>
        </is>
      </c>
      <c r="I228" s="12" t="inlineStr">
        <is>
          <t>Modify POS Order</t>
        </is>
      </c>
      <c r="J228" s="12" t="inlineStr">
        <is>
          <t>Primary Workflow</t>
        </is>
      </c>
      <c r="K228" s="12" t="inlineStr">
        <is>
          <t>F&amp;B Manager</t>
        </is>
      </c>
      <c r="L228" s="12" t="inlineStr">
        <is>
          <t>As a F&amp;B Manager, I want to list, search, filter, view, create, edit, cancel/delete under policy, export in Modify POS Order, so that the order management process is completed accurately without duplicate or inconsistent records.</t>
        </is>
      </c>
      <c r="M228" s="12" t="inlineStr">
        <is>
          <t>Enable food &amp; beverage users to manage order management through the Modify POS Order workflow with real-time status, validations and traceability.</t>
        </is>
      </c>
      <c r="N228" s="12" t="inlineStr">
        <is>
          <t>View access confirmed; required masters and linked records exist; Inventory, Finance, Guests services are available; approval limit is valid.</t>
        </is>
      </c>
      <c r="O22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modify pos order workflow; invalid or conflicting actions are blocked with clear messages; saved changes appear in related screens; sensitive changes are auditable.</t>
        </is>
      </c>
      <c r="P228" s="12" t="inlineStr">
        <is>
          <t>Duplicate submission is idempotent; stale data returns a refresh/conflict message; invalid status transitions are blocked; partial failure rolls back without orphan records.</t>
        </is>
      </c>
      <c r="Q228" s="12" t="inlineStr">
        <is>
          <t>Tenant/property scope; required fields; optimistic locking; timezone-safe dates; reason mandatory for overrides; currency precision; tax/rate totals; approval limit; no unbalanced or duplicate posting</t>
        </is>
      </c>
      <c r="R228" s="12" t="inlineStr">
        <is>
          <t>Inventory, Finance, Guests</t>
        </is>
      </c>
      <c r="S228" s="12" t="inlineStr">
        <is>
          <t>GET, POST, PUT/PATCH, DELETE /api/v1/modify-pos-order; lookup, validation and audit endpoints; idempotency for financial/booking writes; entities: outlets, tables, menu_items, pos_orders, pos_bills, kitchen_tickets</t>
        </is>
      </c>
      <c r="T228" s="12" t="inlineStr">
        <is>
          <t>Should Have</t>
        </is>
      </c>
      <c r="U228" s="12" t="inlineStr">
        <is>
          <t>Release 1.1</t>
        </is>
      </c>
      <c r="V228" s="34" t="n">
        <v>8</v>
      </c>
      <c r="W228" s="12" t="inlineStr">
        <is>
          <t>S12-S13</t>
        </is>
      </c>
      <c r="X228" s="12" t="inlineStr">
        <is>
          <t>Backlog</t>
        </is>
      </c>
      <c r="Y228" s="13">
        <f>IF(X228="Done",1,IF(X228="QA",0.9,IF(X228="Code Review",0.75,IF(X228="In Development",0.5,IF(X228="Ready",0.1,0)))))</f>
        <v/>
      </c>
      <c r="Z228" s="12" t="n"/>
      <c r="AA228" s="12" t="inlineStr">
        <is>
          <t>TC-079-B</t>
        </is>
      </c>
      <c r="AB228" s="12" t="inlineStr">
        <is>
          <t>Approved screen design; story reviewed with F&amp;B Manager; dependencies, API contract, role permissions and test data identified.</t>
        </is>
      </c>
      <c r="AC228" s="12" t="inlineStr">
        <is>
          <t>Code reviewed; unit, API, UI, RBAC and integration tests pass; accessibility and responsive states verified; audit evidence captured; product owner accepts in staging.</t>
        </is>
      </c>
      <c r="AD228" s="12" t="n"/>
    </row>
    <row r="229" ht="78" customHeight="1" s="43">
      <c r="A229" s="11" t="n">
        <v>2</v>
      </c>
      <c r="B229" s="11" t="n">
        <v>225</v>
      </c>
      <c r="C229" s="12" t="inlineStr">
        <is>
          <t>US-079-03</t>
        </is>
      </c>
      <c r="D229" s="12" t="inlineStr">
        <is>
          <t>Control permissions, overrides and audit for Modify POS Order</t>
        </is>
      </c>
      <c r="E229" s="12" t="inlineStr">
        <is>
          <t>EPIC-07</t>
        </is>
      </c>
      <c r="F229" s="12" t="inlineStr">
        <is>
          <t>Food &amp; Beverage</t>
        </is>
      </c>
      <c r="G229" s="12" t="inlineStr">
        <is>
          <t>Order Management</t>
        </is>
      </c>
      <c r="H229" s="11" t="inlineStr">
        <is>
          <t>SCR-079</t>
        </is>
      </c>
      <c r="I229" s="12" t="inlineStr">
        <is>
          <t>Modify POS Order</t>
        </is>
      </c>
      <c r="J229" s="12" t="inlineStr">
        <is>
          <t>Security / Exceptions</t>
        </is>
      </c>
      <c r="K229" s="12" t="inlineStr">
        <is>
          <t>F&amp;B Manager</t>
        </is>
      </c>
      <c r="L229" s="12" t="inlineStr">
        <is>
          <t>As a department supervisor or auditor, I want sensitive actions in Modify POS Order to follow permissions, approval limits and audit rules, so that resort operations remain secure, compliant and traceable.</t>
        </is>
      </c>
      <c r="M229" s="12" t="inlineStr">
        <is>
          <t>Reduces fraud, privacy leakage, unauthorized overrides and unresolved operational disputes.</t>
        </is>
      </c>
      <c r="N229" s="12" t="inlineStr">
        <is>
          <t>Roles, permissions, approval hierarchy and audit service are configured; allowed and denied test users exist.</t>
        </is>
      </c>
      <c r="O22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29" s="12" t="inlineStr">
        <is>
          <t>Tampered IDs, expired sessions, approval-limit violations and cross-tenant requests are rejected; secrets and sensitive guest/payment fields are never written to logs.</t>
        </is>
      </c>
      <c r="Q229" s="12" t="inlineStr">
        <is>
          <t>Tenant/property scope; required fields; optimistic locking; timezone-safe dates; reason mandatory for overrides; currency precision; tax/rate totals; approval limit; no unbalanced or duplicate posting</t>
        </is>
      </c>
      <c r="R229" s="12" t="inlineStr">
        <is>
          <t>Inventory, Finance, Guests</t>
        </is>
      </c>
      <c r="S229" s="12" t="inlineStr">
        <is>
          <t>GET, POST, PUT/PATCH, DELETE /api/v1/modify-pos-order; lookup, validation and audit endpoints; idempotency for financial/booking writes; entities: outlets, tables, menu_items, pos_orders, pos_bills, kitchen_tickets</t>
        </is>
      </c>
      <c r="T229" s="12" t="inlineStr">
        <is>
          <t>Should Have</t>
        </is>
      </c>
      <c r="U229" s="12" t="inlineStr">
        <is>
          <t>Release 1.1</t>
        </is>
      </c>
      <c r="V229" s="34" t="n">
        <v>5</v>
      </c>
      <c r="W229" s="12" t="inlineStr">
        <is>
          <t>S12-S13</t>
        </is>
      </c>
      <c r="X229" s="12" t="inlineStr">
        <is>
          <t>Backlog</t>
        </is>
      </c>
      <c r="Y229" s="13">
        <f>IF(X229="Done",1,IF(X229="QA",0.9,IF(X229="Code Review",0.75,IF(X229="In Development",0.5,IF(X229="Ready",0.1,0)))))</f>
        <v/>
      </c>
      <c r="Z229" s="12" t="n"/>
      <c r="AA229" s="12" t="inlineStr">
        <is>
          <t>TC-079-C</t>
        </is>
      </c>
      <c r="AB229" s="12" t="inlineStr">
        <is>
          <t>Approved screen design; story reviewed with F&amp;B Manager; dependencies, API contract, role permissions and test data identified.</t>
        </is>
      </c>
      <c r="AC229" s="12" t="inlineStr">
        <is>
          <t>Code reviewed; unit, API, UI, RBAC and integration tests pass; accessibility and responsive states verified; audit evidence captured; product owner accepts in staging.</t>
        </is>
      </c>
      <c r="AD229" s="12" t="n"/>
    </row>
    <row r="230" ht="78" customHeight="1" s="43">
      <c r="A230" s="11" t="n">
        <v>2</v>
      </c>
      <c r="B230" s="11" t="n">
        <v>226</v>
      </c>
      <c r="C230" s="12" t="inlineStr">
        <is>
          <t>US-080-01</t>
        </is>
      </c>
      <c r="D230" s="12" t="inlineStr">
        <is>
          <t>View and find information in Split or Merge POS Bill</t>
        </is>
      </c>
      <c r="E230" s="12" t="inlineStr">
        <is>
          <t>EPIC-07</t>
        </is>
      </c>
      <c r="F230" s="12" t="inlineStr">
        <is>
          <t>Food &amp; Beverage</t>
        </is>
      </c>
      <c r="G230" s="12" t="inlineStr">
        <is>
          <t>Billing</t>
        </is>
      </c>
      <c r="H230" s="11" t="inlineStr">
        <is>
          <t>SCR-080</t>
        </is>
      </c>
      <c r="I230" s="12" t="inlineStr">
        <is>
          <t>Split or Merge POS Bill</t>
        </is>
      </c>
      <c r="J230" s="12" t="inlineStr">
        <is>
          <t>View / Search</t>
        </is>
      </c>
      <c r="K230" s="12" t="inlineStr">
        <is>
          <t>F&amp;B Manager</t>
        </is>
      </c>
      <c r="L230" s="12" t="inlineStr">
        <is>
          <t>As a F&amp;B Manager, I want to open Split or Merge POS Bill and find relevant records using search, filters and sorting, so that I can make accurate operational decisions.</t>
        </is>
      </c>
      <c r="M230" s="12" t="inlineStr">
        <is>
          <t>Provides timely visibility for billing and reduces manual lookup effort.</t>
        </is>
      </c>
      <c r="N230" s="12" t="inlineStr">
        <is>
          <t>Authenticated user; active property; view permission for Food &amp; Beverage; Inventory, Finance, Guests data available.</t>
        </is>
      </c>
      <c r="O230" s="12" t="inlineStr">
        <is>
          <t>Given I am authenticated as F&amp;B Manager with access to the selected property, when I open Split or Merge POS Bill,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30" s="12" t="inlineStr">
        <is>
          <t>Cross-property data never appears; unauthorized fields are masked; invalid filters do not break the screen; unavailable services return a controlled message.</t>
        </is>
      </c>
      <c r="Q230" s="12" t="inlineStr">
        <is>
          <t>Tenant/property scope; required fields; optimistic locking; timezone-safe dates; reason mandatory for overrides; currency precision; tax/rate totals; approval limit; no unbalanced or duplicate posting</t>
        </is>
      </c>
      <c r="R230" s="12" t="inlineStr">
        <is>
          <t>Inventory, Finance, Guests</t>
        </is>
      </c>
      <c r="S230" s="12" t="inlineStr">
        <is>
          <t>GET, POST/PATCH /api/v1/split-or-merge-pos-bill; lookup, validation and audit endpoints; idempotency for financial/booking writes; entities: outlets, tables, menu_items, pos_orders, pos_bills, kitchen_tickets</t>
        </is>
      </c>
      <c r="T230" s="12" t="inlineStr">
        <is>
          <t>Should Have</t>
        </is>
      </c>
      <c r="U230" s="12" t="inlineStr">
        <is>
          <t>Release 1.1</t>
        </is>
      </c>
      <c r="V230" s="34" t="n">
        <v>3</v>
      </c>
      <c r="W230" s="12" t="inlineStr">
        <is>
          <t>S12-S13</t>
        </is>
      </c>
      <c r="X230" s="12" t="inlineStr">
        <is>
          <t>Backlog</t>
        </is>
      </c>
      <c r="Y230" s="13">
        <f>IF(X230="Done",1,IF(X230="QA",0.9,IF(X230="Code Review",0.75,IF(X230="In Development",0.5,IF(X230="Ready",0.1,0)))))</f>
        <v/>
      </c>
      <c r="Z230" s="12" t="n"/>
      <c r="AA230" s="12" t="inlineStr">
        <is>
          <t>TC-080-A</t>
        </is>
      </c>
      <c r="AB230" s="12" t="inlineStr">
        <is>
          <t>Approved screen design; story reviewed with F&amp;B Manager; dependencies, API contract, role permissions and test data identified.</t>
        </is>
      </c>
      <c r="AC230" s="12" t="inlineStr">
        <is>
          <t>Code reviewed; unit, API, UI, RBAC and integration tests pass; accessibility and responsive states verified; audit evidence captured; product owner accepts in staging.</t>
        </is>
      </c>
      <c r="AD230" s="12" t="n"/>
    </row>
    <row r="231" ht="78" customHeight="1" s="43">
      <c r="A231" s="11" t="n">
        <v>2</v>
      </c>
      <c r="B231" s="11" t="n">
        <v>227</v>
      </c>
      <c r="C231" s="12" t="inlineStr">
        <is>
          <t>US-080-02</t>
        </is>
      </c>
      <c r="D231" s="12" t="inlineStr">
        <is>
          <t>Complete the primary Split or Merge POS Bill workflow</t>
        </is>
      </c>
      <c r="E231" s="12" t="inlineStr">
        <is>
          <t>EPIC-07</t>
        </is>
      </c>
      <c r="F231" s="12" t="inlineStr">
        <is>
          <t>Food &amp; Beverage</t>
        </is>
      </c>
      <c r="G231" s="12" t="inlineStr">
        <is>
          <t>Billing</t>
        </is>
      </c>
      <c r="H231" s="11" t="inlineStr">
        <is>
          <t>SCR-080</t>
        </is>
      </c>
      <c r="I231" s="12" t="inlineStr">
        <is>
          <t>Split or Merge POS Bill</t>
        </is>
      </c>
      <c r="J231" s="12" t="inlineStr">
        <is>
          <t>Primary Workflow</t>
        </is>
      </c>
      <c r="K231" s="12" t="inlineStr">
        <is>
          <t>F&amp;B Manager</t>
        </is>
      </c>
      <c r="L231" s="12" t="inlineStr">
        <is>
          <t>As a F&amp;B Manager, I want to search, compare, select survivor, merge, undo under policy in Split or Merge POS Bill, so that the billing process is completed accurately without duplicate or inconsistent records.</t>
        </is>
      </c>
      <c r="M231" s="12" t="inlineStr">
        <is>
          <t>Enable food &amp; beverage users to manage billing through the Split or Merge POS Bill workflow with real-time status, validations and traceability.</t>
        </is>
      </c>
      <c r="N231" s="12" t="inlineStr">
        <is>
          <t>View access confirmed; required masters and linked records exist; Inventory, Finance, Guests services are available; approval limit is valid.</t>
        </is>
      </c>
      <c r="O23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split or merge pos bill workflow; invalid or conflicting actions are blocked with clear messages; saved changes appear in related screens; sensitive changes are auditable.</t>
        </is>
      </c>
      <c r="P231" s="12" t="inlineStr">
        <is>
          <t>Duplicate submission is idempotent; stale data returns a refresh/conflict message; invalid status transitions are blocked; partial failure rolls back without orphan records.</t>
        </is>
      </c>
      <c r="Q231" s="12" t="inlineStr">
        <is>
          <t>Tenant/property scope; required fields; optimistic locking; timezone-safe dates; reason mandatory for overrides; currency precision; tax/rate totals; approval limit; no unbalanced or duplicate posting</t>
        </is>
      </c>
      <c r="R231" s="12" t="inlineStr">
        <is>
          <t>Inventory, Finance, Guests</t>
        </is>
      </c>
      <c r="S231" s="12" t="inlineStr">
        <is>
          <t>GET, POST/PATCH /api/v1/split-or-merge-pos-bill; lookup, validation and audit endpoints; idempotency for financial/booking writes; entities: outlets, tables, menu_items, pos_orders, pos_bills, kitchen_tickets</t>
        </is>
      </c>
      <c r="T231" s="12" t="inlineStr">
        <is>
          <t>Should Have</t>
        </is>
      </c>
      <c r="U231" s="12" t="inlineStr">
        <is>
          <t>Release 1.1</t>
        </is>
      </c>
      <c r="V231" s="34" t="n">
        <v>8</v>
      </c>
      <c r="W231" s="12" t="inlineStr">
        <is>
          <t>S12-S13</t>
        </is>
      </c>
      <c r="X231" s="12" t="inlineStr">
        <is>
          <t>Backlog</t>
        </is>
      </c>
      <c r="Y231" s="13">
        <f>IF(X231="Done",1,IF(X231="QA",0.9,IF(X231="Code Review",0.75,IF(X231="In Development",0.5,IF(X231="Ready",0.1,0)))))</f>
        <v/>
      </c>
      <c r="Z231" s="12" t="n"/>
      <c r="AA231" s="12" t="inlineStr">
        <is>
          <t>TC-080-B</t>
        </is>
      </c>
      <c r="AB231" s="12" t="inlineStr">
        <is>
          <t>Approved screen design; story reviewed with F&amp;B Manager; dependencies, API contract, role permissions and test data identified.</t>
        </is>
      </c>
      <c r="AC231" s="12" t="inlineStr">
        <is>
          <t>Code reviewed; unit, API, UI, RBAC and integration tests pass; accessibility and responsive states verified; audit evidence captured; product owner accepts in staging.</t>
        </is>
      </c>
      <c r="AD231" s="12" t="n"/>
    </row>
    <row r="232" ht="78" customHeight="1" s="43">
      <c r="A232" s="11" t="n">
        <v>2</v>
      </c>
      <c r="B232" s="11" t="n">
        <v>228</v>
      </c>
      <c r="C232" s="12" t="inlineStr">
        <is>
          <t>US-080-03</t>
        </is>
      </c>
      <c r="D232" s="12" t="inlineStr">
        <is>
          <t>Control permissions, overrides and audit for Split or Merge POS Bill</t>
        </is>
      </c>
      <c r="E232" s="12" t="inlineStr">
        <is>
          <t>EPIC-07</t>
        </is>
      </c>
      <c r="F232" s="12" t="inlineStr">
        <is>
          <t>Food &amp; Beverage</t>
        </is>
      </c>
      <c r="G232" s="12" t="inlineStr">
        <is>
          <t>Billing</t>
        </is>
      </c>
      <c r="H232" s="11" t="inlineStr">
        <is>
          <t>SCR-080</t>
        </is>
      </c>
      <c r="I232" s="12" t="inlineStr">
        <is>
          <t>Split or Merge POS Bill</t>
        </is>
      </c>
      <c r="J232" s="12" t="inlineStr">
        <is>
          <t>Security / Exceptions</t>
        </is>
      </c>
      <c r="K232" s="12" t="inlineStr">
        <is>
          <t>F&amp;B Manager</t>
        </is>
      </c>
      <c r="L232" s="12" t="inlineStr">
        <is>
          <t>As a department supervisor or auditor, I want sensitive actions in Split or Merge POS Bill to follow permissions, approval limits and audit rules, so that resort operations remain secure, compliant and traceable.</t>
        </is>
      </c>
      <c r="M232" s="12" t="inlineStr">
        <is>
          <t>Reduces fraud, privacy leakage, unauthorized overrides and unresolved operational disputes.</t>
        </is>
      </c>
      <c r="N232" s="12" t="inlineStr">
        <is>
          <t>Roles, permissions, approval hierarchy and audit service are configured; allowed and denied test users exist.</t>
        </is>
      </c>
      <c r="O23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32" s="12" t="inlineStr">
        <is>
          <t>Tampered IDs, expired sessions, approval-limit violations and cross-tenant requests are rejected; secrets and sensitive guest/payment fields are never written to logs.</t>
        </is>
      </c>
      <c r="Q232" s="12" t="inlineStr">
        <is>
          <t>Tenant/property scope; required fields; optimistic locking; timezone-safe dates; reason mandatory for overrides; currency precision; tax/rate totals; approval limit; no unbalanced or duplicate posting</t>
        </is>
      </c>
      <c r="R232" s="12" t="inlineStr">
        <is>
          <t>Inventory, Finance, Guests</t>
        </is>
      </c>
      <c r="S232" s="12" t="inlineStr">
        <is>
          <t>GET, POST/PATCH /api/v1/split-or-merge-pos-bill; lookup, validation and audit endpoints; idempotency for financial/booking writes; entities: outlets, tables, menu_items, pos_orders, pos_bills, kitchen_tickets</t>
        </is>
      </c>
      <c r="T232" s="12" t="inlineStr">
        <is>
          <t>Should Have</t>
        </is>
      </c>
      <c r="U232" s="12" t="inlineStr">
        <is>
          <t>Release 1.1</t>
        </is>
      </c>
      <c r="V232" s="34" t="n">
        <v>5</v>
      </c>
      <c r="W232" s="12" t="inlineStr">
        <is>
          <t>S12-S13</t>
        </is>
      </c>
      <c r="X232" s="12" t="inlineStr">
        <is>
          <t>Backlog</t>
        </is>
      </c>
      <c r="Y232" s="13">
        <f>IF(X232="Done",1,IF(X232="QA",0.9,IF(X232="Code Review",0.75,IF(X232="In Development",0.5,IF(X232="Ready",0.1,0)))))</f>
        <v/>
      </c>
      <c r="Z232" s="12" t="n"/>
      <c r="AA232" s="12" t="inlineStr">
        <is>
          <t>TC-080-C</t>
        </is>
      </c>
      <c r="AB232" s="12" t="inlineStr">
        <is>
          <t>Approved screen design; story reviewed with F&amp;B Manager; dependencies, API contract, role permissions and test data identified.</t>
        </is>
      </c>
      <c r="AC232" s="12" t="inlineStr">
        <is>
          <t>Code reviewed; unit, API, UI, RBAC and integration tests pass; accessibility and responsive states verified; audit evidence captured; product owner accepts in staging.</t>
        </is>
      </c>
      <c r="AD232" s="12" t="n"/>
    </row>
    <row r="233" ht="78" customHeight="1" s="43">
      <c r="A233" s="11" t="n">
        <v>2</v>
      </c>
      <c r="B233" s="11" t="n">
        <v>229</v>
      </c>
      <c r="C233" s="12" t="inlineStr">
        <is>
          <t>US-081-01</t>
        </is>
      </c>
      <c r="D233" s="12" t="inlineStr">
        <is>
          <t>View and find information in POS Void and Discount Approval</t>
        </is>
      </c>
      <c r="E233" s="12" t="inlineStr">
        <is>
          <t>EPIC-07</t>
        </is>
      </c>
      <c r="F233" s="12" t="inlineStr">
        <is>
          <t>Food &amp; Beverage</t>
        </is>
      </c>
      <c r="G233" s="12" t="inlineStr">
        <is>
          <t>Controls</t>
        </is>
      </c>
      <c r="H233" s="11" t="inlineStr">
        <is>
          <t>SCR-081</t>
        </is>
      </c>
      <c r="I233" s="12" t="inlineStr">
        <is>
          <t>POS Void and Discount Approval</t>
        </is>
      </c>
      <c r="J233" s="12" t="inlineStr">
        <is>
          <t>View / Search</t>
        </is>
      </c>
      <c r="K233" s="12" t="inlineStr">
        <is>
          <t>F&amp;B Manager</t>
        </is>
      </c>
      <c r="L233" s="12" t="inlineStr">
        <is>
          <t>As a F&amp;B Manager, I want to open POS Void and Discount Approval and find relevant records using search, filters and sorting, so that I can make accurate operational decisions.</t>
        </is>
      </c>
      <c r="M233" s="12" t="inlineStr">
        <is>
          <t>Provides timely visibility for controls and reduces manual lookup effort.</t>
        </is>
      </c>
      <c r="N233" s="12" t="inlineStr">
        <is>
          <t>Authenticated user; active property; view permission for Food &amp; Beverage; Inventory, Finance, Guests data available.</t>
        </is>
      </c>
      <c r="O233" s="12" t="inlineStr">
        <is>
          <t>Given I am authenticated as F&amp;B Manager with access to the selected property, when I open POS Void and Discount Approval,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33" s="12" t="inlineStr">
        <is>
          <t>Cross-property data never appears; unauthorized fields are masked; invalid filters do not break the screen; unavailable services return a controlled message.</t>
        </is>
      </c>
      <c r="Q233" s="12" t="inlineStr">
        <is>
          <t>Tenant/property scope; required fields; optimistic locking; timezone-safe dates; reason mandatory for overrides; currency precision; tax/rate totals; approval limit; no unbalanced or duplicate posting</t>
        </is>
      </c>
      <c r="R233" s="12" t="inlineStr">
        <is>
          <t>Inventory, Finance, Guests</t>
        </is>
      </c>
      <c r="S233" s="12" t="inlineStr">
        <is>
          <t>GET, POST/PATCH /api/v1/pos-void-and-discount-approval; lookup, validation and audit endpoints; idempotency for financial/booking writes; entities: outlets, tables, menu_items, pos_orders, pos_bills, kitchen_tickets</t>
        </is>
      </c>
      <c r="T233" s="12" t="inlineStr">
        <is>
          <t>Should Have</t>
        </is>
      </c>
      <c r="U233" s="12" t="inlineStr">
        <is>
          <t>Release 1.1</t>
        </is>
      </c>
      <c r="V233" s="34" t="n">
        <v>3</v>
      </c>
      <c r="W233" s="12" t="inlineStr">
        <is>
          <t>S12-S13</t>
        </is>
      </c>
      <c r="X233" s="12" t="inlineStr">
        <is>
          <t>Backlog</t>
        </is>
      </c>
      <c r="Y233" s="13">
        <f>IF(X233="Done",1,IF(X233="QA",0.9,IF(X233="Code Review",0.75,IF(X233="In Development",0.5,IF(X233="Ready",0.1,0)))))</f>
        <v/>
      </c>
      <c r="Z233" s="12" t="n"/>
      <c r="AA233" s="12" t="inlineStr">
        <is>
          <t>TC-081-A</t>
        </is>
      </c>
      <c r="AB233" s="12" t="inlineStr">
        <is>
          <t>Approved screen design; story reviewed with F&amp;B Manager; dependencies, API contract, role permissions and test data identified.</t>
        </is>
      </c>
      <c r="AC233" s="12" t="inlineStr">
        <is>
          <t>Code reviewed; unit, API, UI, RBAC and integration tests pass; accessibility and responsive states verified; audit evidence captured; product owner accepts in staging.</t>
        </is>
      </c>
      <c r="AD233" s="12" t="n"/>
    </row>
    <row r="234" ht="78" customHeight="1" s="43">
      <c r="A234" s="11" t="n">
        <v>2</v>
      </c>
      <c r="B234" s="11" t="n">
        <v>230</v>
      </c>
      <c r="C234" s="12" t="inlineStr">
        <is>
          <t>US-081-02</t>
        </is>
      </c>
      <c r="D234" s="12" t="inlineStr">
        <is>
          <t>Complete the primary POS Void and Discount Approval workflow</t>
        </is>
      </c>
      <c r="E234" s="12" t="inlineStr">
        <is>
          <t>EPIC-07</t>
        </is>
      </c>
      <c r="F234" s="12" t="inlineStr">
        <is>
          <t>Food &amp; Beverage</t>
        </is>
      </c>
      <c r="G234" s="12" t="inlineStr">
        <is>
          <t>Controls</t>
        </is>
      </c>
      <c r="H234" s="11" t="inlineStr">
        <is>
          <t>SCR-081</t>
        </is>
      </c>
      <c r="I234" s="12" t="inlineStr">
        <is>
          <t>POS Void and Discount Approval</t>
        </is>
      </c>
      <c r="J234" s="12" t="inlineStr">
        <is>
          <t>Primary Workflow</t>
        </is>
      </c>
      <c r="K234" s="12" t="inlineStr">
        <is>
          <t>F&amp;B Manager</t>
        </is>
      </c>
      <c r="L234" s="12" t="inlineStr">
        <is>
          <t>As a F&amp;B Manager, I want to view, approve, reject, comment, escalate in POS Void and Discount Approval, so that the controls process is completed accurately without duplicate or inconsistent records.</t>
        </is>
      </c>
      <c r="M234" s="12" t="inlineStr">
        <is>
          <t>Enable food &amp; beverage users to manage controls through the POS Void and Discount Approval workflow with real-time status, validations and traceability.</t>
        </is>
      </c>
      <c r="N234" s="12" t="inlineStr">
        <is>
          <t>View access confirmed; required masters and linked records exist; Inventory, Finance, Guests services are available; approval limit is valid.</t>
        </is>
      </c>
      <c r="O23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pos void and discount approval workflow; invalid or conflicting actions are blocked with clear messages; saved changes appear in related screens; sensitive changes are auditable.</t>
        </is>
      </c>
      <c r="P234" s="12" t="inlineStr">
        <is>
          <t>Duplicate submission is idempotent; stale data returns a refresh/conflict message; invalid status transitions are blocked; partial failure rolls back without orphan records.</t>
        </is>
      </c>
      <c r="Q234" s="12" t="inlineStr">
        <is>
          <t>Tenant/property scope; required fields; optimistic locking; timezone-safe dates; reason mandatory for overrides; currency precision; tax/rate totals; approval limit; no unbalanced or duplicate posting</t>
        </is>
      </c>
      <c r="R234" s="12" t="inlineStr">
        <is>
          <t>Inventory, Finance, Guests</t>
        </is>
      </c>
      <c r="S234" s="12" t="inlineStr">
        <is>
          <t>GET, POST/PATCH /api/v1/pos-void-and-discount-approval; lookup, validation and audit endpoints; idempotency for financial/booking writes; entities: outlets, tables, menu_items, pos_orders, pos_bills, kitchen_tickets</t>
        </is>
      </c>
      <c r="T234" s="12" t="inlineStr">
        <is>
          <t>Should Have</t>
        </is>
      </c>
      <c r="U234" s="12" t="inlineStr">
        <is>
          <t>Release 1.1</t>
        </is>
      </c>
      <c r="V234" s="34" t="n">
        <v>8</v>
      </c>
      <c r="W234" s="12" t="inlineStr">
        <is>
          <t>S12-S13</t>
        </is>
      </c>
      <c r="X234" s="12" t="inlineStr">
        <is>
          <t>Backlog</t>
        </is>
      </c>
      <c r="Y234" s="13">
        <f>IF(X234="Done",1,IF(X234="QA",0.9,IF(X234="Code Review",0.75,IF(X234="In Development",0.5,IF(X234="Ready",0.1,0)))))</f>
        <v/>
      </c>
      <c r="Z234" s="12" t="n"/>
      <c r="AA234" s="12" t="inlineStr">
        <is>
          <t>TC-081-B</t>
        </is>
      </c>
      <c r="AB234" s="12" t="inlineStr">
        <is>
          <t>Approved screen design; story reviewed with F&amp;B Manager; dependencies, API contract, role permissions and test data identified.</t>
        </is>
      </c>
      <c r="AC234" s="12" t="inlineStr">
        <is>
          <t>Code reviewed; unit, API, UI, RBAC and integration tests pass; accessibility and responsive states verified; audit evidence captured; product owner accepts in staging.</t>
        </is>
      </c>
      <c r="AD234" s="12" t="n"/>
    </row>
    <row r="235" ht="78" customHeight="1" s="43">
      <c r="A235" s="11" t="n">
        <v>2</v>
      </c>
      <c r="B235" s="11" t="n">
        <v>231</v>
      </c>
      <c r="C235" s="12" t="inlineStr">
        <is>
          <t>US-081-03</t>
        </is>
      </c>
      <c r="D235" s="12" t="inlineStr">
        <is>
          <t>Control permissions, overrides and audit for POS Void and Discount Approval</t>
        </is>
      </c>
      <c r="E235" s="12" t="inlineStr">
        <is>
          <t>EPIC-07</t>
        </is>
      </c>
      <c r="F235" s="12" t="inlineStr">
        <is>
          <t>Food &amp; Beverage</t>
        </is>
      </c>
      <c r="G235" s="12" t="inlineStr">
        <is>
          <t>Controls</t>
        </is>
      </c>
      <c r="H235" s="11" t="inlineStr">
        <is>
          <t>SCR-081</t>
        </is>
      </c>
      <c r="I235" s="12" t="inlineStr">
        <is>
          <t>POS Void and Discount Approval</t>
        </is>
      </c>
      <c r="J235" s="12" t="inlineStr">
        <is>
          <t>Security / Exceptions</t>
        </is>
      </c>
      <c r="K235" s="12" t="inlineStr">
        <is>
          <t>F&amp;B Manager</t>
        </is>
      </c>
      <c r="L235" s="12" t="inlineStr">
        <is>
          <t>As a department supervisor or auditor, I want sensitive actions in POS Void and Discount Approval to follow permissions, approval limits and audit rules, so that resort operations remain secure, compliant and traceable.</t>
        </is>
      </c>
      <c r="M235" s="12" t="inlineStr">
        <is>
          <t>Reduces fraud, privacy leakage, unauthorized overrides and unresolved operational disputes.</t>
        </is>
      </c>
      <c r="N235" s="12" t="inlineStr">
        <is>
          <t>Roles, permissions, approval hierarchy and audit service are configured; allowed and denied test users exist.</t>
        </is>
      </c>
      <c r="O23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35" s="12" t="inlineStr">
        <is>
          <t>Tampered IDs, expired sessions, approval-limit violations and cross-tenant requests are rejected; secrets and sensitive guest/payment fields are never written to logs.</t>
        </is>
      </c>
      <c r="Q235" s="12" t="inlineStr">
        <is>
          <t>Tenant/property scope; required fields; optimistic locking; timezone-safe dates; reason mandatory for overrides; currency precision; tax/rate totals; approval limit; no unbalanced or duplicate posting</t>
        </is>
      </c>
      <c r="R235" s="12" t="inlineStr">
        <is>
          <t>Inventory, Finance, Guests</t>
        </is>
      </c>
      <c r="S235" s="12" t="inlineStr">
        <is>
          <t>GET, POST/PATCH /api/v1/pos-void-and-discount-approval; lookup, validation and audit endpoints; idempotency for financial/booking writes; entities: outlets, tables, menu_items, pos_orders, pos_bills, kitchen_tickets</t>
        </is>
      </c>
      <c r="T235" s="12" t="inlineStr">
        <is>
          <t>Should Have</t>
        </is>
      </c>
      <c r="U235" s="12" t="inlineStr">
        <is>
          <t>Release 1.1</t>
        </is>
      </c>
      <c r="V235" s="34" t="n">
        <v>5</v>
      </c>
      <c r="W235" s="12" t="inlineStr">
        <is>
          <t>S12-S13</t>
        </is>
      </c>
      <c r="X235" s="12" t="inlineStr">
        <is>
          <t>Backlog</t>
        </is>
      </c>
      <c r="Y235" s="13">
        <f>IF(X235="Done",1,IF(X235="QA",0.9,IF(X235="Code Review",0.75,IF(X235="In Development",0.5,IF(X235="Ready",0.1,0)))))</f>
        <v/>
      </c>
      <c r="Z235" s="12" t="n"/>
      <c r="AA235" s="12" t="inlineStr">
        <is>
          <t>TC-081-C</t>
        </is>
      </c>
      <c r="AB235" s="12" t="inlineStr">
        <is>
          <t>Approved screen design; story reviewed with F&amp;B Manager; dependencies, API contract, role permissions and test data identified.</t>
        </is>
      </c>
      <c r="AC235" s="12" t="inlineStr">
        <is>
          <t>Code reviewed; unit, API, UI, RBAC and integration tests pass; accessibility and responsive states verified; audit evidence captured; product owner accepts in staging.</t>
        </is>
      </c>
      <c r="AD235" s="12" t="n"/>
    </row>
    <row r="236" ht="78" customHeight="1" s="43">
      <c r="A236" s="11" t="n">
        <v>2</v>
      </c>
      <c r="B236" s="11" t="n">
        <v>232</v>
      </c>
      <c r="C236" s="12" t="inlineStr">
        <is>
          <t>US-082-01</t>
        </is>
      </c>
      <c r="D236" s="12" t="inlineStr">
        <is>
          <t>View and find information in Menu Item Management</t>
        </is>
      </c>
      <c r="E236" s="12" t="inlineStr">
        <is>
          <t>EPIC-07</t>
        </is>
      </c>
      <c r="F236" s="12" t="inlineStr">
        <is>
          <t>Food &amp; Beverage</t>
        </is>
      </c>
      <c r="G236" s="12" t="inlineStr">
        <is>
          <t>Menu Master</t>
        </is>
      </c>
      <c r="H236" s="11" t="inlineStr">
        <is>
          <t>SCR-082</t>
        </is>
      </c>
      <c r="I236" s="12" t="inlineStr">
        <is>
          <t>Menu Item Management</t>
        </is>
      </c>
      <c r="J236" s="12" t="inlineStr">
        <is>
          <t>View / Search</t>
        </is>
      </c>
      <c r="K236" s="12" t="inlineStr">
        <is>
          <t>F&amp;B Manager</t>
        </is>
      </c>
      <c r="L236" s="12" t="inlineStr">
        <is>
          <t>As a F&amp;B Manager, I want to open Menu Item Management and find relevant records using search, filters and sorting, so that I can make accurate operational decisions.</t>
        </is>
      </c>
      <c r="M236" s="12" t="inlineStr">
        <is>
          <t>Provides timely visibility for menu master and reduces manual lookup effort.</t>
        </is>
      </c>
      <c r="N236" s="12" t="inlineStr">
        <is>
          <t>Authenticated user; active property; view permission for Food &amp; Beverage; Inventory, Finance, Guests data available.</t>
        </is>
      </c>
      <c r="O236" s="12" t="inlineStr">
        <is>
          <t>Given I am authenticated as F&amp;B Manager with access to the selected property, when I open Menu Item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36" s="12" t="inlineStr">
        <is>
          <t>Cross-property data never appears; unauthorized fields are masked; invalid filters do not break the screen; unavailable services return a controlled message.</t>
        </is>
      </c>
      <c r="Q236" s="12" t="inlineStr">
        <is>
          <t>Tenant/property scope; required fields; optimistic locking; timezone-safe dates; reason mandatory for overrides; currency precision; tax/rate totals; approval limit; no unbalanced or duplicate posting</t>
        </is>
      </c>
      <c r="R236" s="12" t="inlineStr">
        <is>
          <t>Inventory, Finance, Guests</t>
        </is>
      </c>
      <c r="S236" s="12" t="inlineStr">
        <is>
          <t>GET, POST, PUT/PATCH, DELETE /api/v1/menu-item-management; lookup, validation and audit endpoints; idempotency for financial/booking writes; entities: outlets, tables, menu_items, pos_orders, pos_bills, kitchen_tickets</t>
        </is>
      </c>
      <c r="T236" s="12" t="inlineStr">
        <is>
          <t>Should Have</t>
        </is>
      </c>
      <c r="U236" s="12" t="inlineStr">
        <is>
          <t>Release 1.1</t>
        </is>
      </c>
      <c r="V236" s="34" t="n">
        <v>3</v>
      </c>
      <c r="W236" s="12" t="inlineStr">
        <is>
          <t>S12-S13</t>
        </is>
      </c>
      <c r="X236" s="12" t="inlineStr">
        <is>
          <t>Backlog</t>
        </is>
      </c>
      <c r="Y236" s="13">
        <f>IF(X236="Done",1,IF(X236="QA",0.9,IF(X236="Code Review",0.75,IF(X236="In Development",0.5,IF(X236="Ready",0.1,0)))))</f>
        <v/>
      </c>
      <c r="Z236" s="12" t="n"/>
      <c r="AA236" s="12" t="inlineStr">
        <is>
          <t>TC-082-A</t>
        </is>
      </c>
      <c r="AB236" s="12" t="inlineStr">
        <is>
          <t>Approved screen design; story reviewed with F&amp;B Manager; dependencies, API contract, role permissions and test data identified.</t>
        </is>
      </c>
      <c r="AC236" s="12" t="inlineStr">
        <is>
          <t>Code reviewed; unit, API, UI, RBAC and integration tests pass; accessibility and responsive states verified; audit evidence captured; product owner accepts in staging.</t>
        </is>
      </c>
      <c r="AD236" s="12" t="n"/>
    </row>
    <row r="237" ht="78" customHeight="1" s="43">
      <c r="A237" s="11" t="n">
        <v>2</v>
      </c>
      <c r="B237" s="11" t="n">
        <v>233</v>
      </c>
      <c r="C237" s="12" t="inlineStr">
        <is>
          <t>US-082-02</t>
        </is>
      </c>
      <c r="D237" s="12" t="inlineStr">
        <is>
          <t>Complete the primary Menu Item Management workflow</t>
        </is>
      </c>
      <c r="E237" s="12" t="inlineStr">
        <is>
          <t>EPIC-07</t>
        </is>
      </c>
      <c r="F237" s="12" t="inlineStr">
        <is>
          <t>Food &amp; Beverage</t>
        </is>
      </c>
      <c r="G237" s="12" t="inlineStr">
        <is>
          <t>Menu Master</t>
        </is>
      </c>
      <c r="H237" s="11" t="inlineStr">
        <is>
          <t>SCR-082</t>
        </is>
      </c>
      <c r="I237" s="12" t="inlineStr">
        <is>
          <t>Menu Item Management</t>
        </is>
      </c>
      <c r="J237" s="12" t="inlineStr">
        <is>
          <t>Primary Workflow</t>
        </is>
      </c>
      <c r="K237" s="12" t="inlineStr">
        <is>
          <t>F&amp;B Manager</t>
        </is>
      </c>
      <c r="L237" s="12" t="inlineStr">
        <is>
          <t>As a F&amp;B Manager, I want to list, view, create, edit, activate/deactivate, delete where safe in Menu Item Management, so that the menu master process is completed accurately without duplicate or inconsistent records.</t>
        </is>
      </c>
      <c r="M237" s="12" t="inlineStr">
        <is>
          <t>Enable food &amp; beverage users to manage menu master through the Menu Item Management workflow with real-time status, validations and traceability.</t>
        </is>
      </c>
      <c r="N237" s="12" t="inlineStr">
        <is>
          <t>View access confirmed; required masters and linked records exist; Inventory, Finance, Guests services are available; approval limit is valid.</t>
        </is>
      </c>
      <c r="O23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menu item management workflow; invalid or conflicting actions are blocked with clear messages; saved changes appear in related screens; sensitive changes are auditable.</t>
        </is>
      </c>
      <c r="P237" s="12" t="inlineStr">
        <is>
          <t>Duplicate submission is idempotent; stale data returns a refresh/conflict message; invalid status transitions are blocked; partial failure rolls back without orphan records.</t>
        </is>
      </c>
      <c r="Q237" s="12" t="inlineStr">
        <is>
          <t>Tenant/property scope; required fields; optimistic locking; timezone-safe dates; reason mandatory for overrides; currency precision; tax/rate totals; approval limit; no unbalanced or duplicate posting</t>
        </is>
      </c>
      <c r="R237" s="12" t="inlineStr">
        <is>
          <t>Inventory, Finance, Guests</t>
        </is>
      </c>
      <c r="S237" s="12" t="inlineStr">
        <is>
          <t>GET, POST, PUT/PATCH, DELETE /api/v1/menu-item-management; lookup, validation and audit endpoints; idempotency for financial/booking writes; entities: outlets, tables, menu_items, pos_orders, pos_bills, kitchen_tickets</t>
        </is>
      </c>
      <c r="T237" s="12" t="inlineStr">
        <is>
          <t>Should Have</t>
        </is>
      </c>
      <c r="U237" s="12" t="inlineStr">
        <is>
          <t>Release 1.1</t>
        </is>
      </c>
      <c r="V237" s="34" t="n">
        <v>8</v>
      </c>
      <c r="W237" s="12" t="inlineStr">
        <is>
          <t>S12-S13</t>
        </is>
      </c>
      <c r="X237" s="12" t="inlineStr">
        <is>
          <t>Backlog</t>
        </is>
      </c>
      <c r="Y237" s="13">
        <f>IF(X237="Done",1,IF(X237="QA",0.9,IF(X237="Code Review",0.75,IF(X237="In Development",0.5,IF(X237="Ready",0.1,0)))))</f>
        <v/>
      </c>
      <c r="Z237" s="12" t="n"/>
      <c r="AA237" s="12" t="inlineStr">
        <is>
          <t>TC-082-B</t>
        </is>
      </c>
      <c r="AB237" s="12" t="inlineStr">
        <is>
          <t>Approved screen design; story reviewed with F&amp;B Manager; dependencies, API contract, role permissions and test data identified.</t>
        </is>
      </c>
      <c r="AC237" s="12" t="inlineStr">
        <is>
          <t>Code reviewed; unit, API, UI, RBAC and integration tests pass; accessibility and responsive states verified; audit evidence captured; product owner accepts in staging.</t>
        </is>
      </c>
      <c r="AD237" s="12" t="n"/>
    </row>
    <row r="238" ht="78" customHeight="1" s="43">
      <c r="A238" s="11" t="n">
        <v>2</v>
      </c>
      <c r="B238" s="11" t="n">
        <v>234</v>
      </c>
      <c r="C238" s="12" t="inlineStr">
        <is>
          <t>US-082-03</t>
        </is>
      </c>
      <c r="D238" s="12" t="inlineStr">
        <is>
          <t>Control permissions, overrides and audit for Menu Item Management</t>
        </is>
      </c>
      <c r="E238" s="12" t="inlineStr">
        <is>
          <t>EPIC-07</t>
        </is>
      </c>
      <c r="F238" s="12" t="inlineStr">
        <is>
          <t>Food &amp; Beverage</t>
        </is>
      </c>
      <c r="G238" s="12" t="inlineStr">
        <is>
          <t>Menu Master</t>
        </is>
      </c>
      <c r="H238" s="11" t="inlineStr">
        <is>
          <t>SCR-082</t>
        </is>
      </c>
      <c r="I238" s="12" t="inlineStr">
        <is>
          <t>Menu Item Management</t>
        </is>
      </c>
      <c r="J238" s="12" t="inlineStr">
        <is>
          <t>Security / Exceptions</t>
        </is>
      </c>
      <c r="K238" s="12" t="inlineStr">
        <is>
          <t>F&amp;B Manager</t>
        </is>
      </c>
      <c r="L238" s="12" t="inlineStr">
        <is>
          <t>As a department supervisor or auditor, I want sensitive actions in Menu Item Management to follow permissions, approval limits and audit rules, so that resort operations remain secure, compliant and traceable.</t>
        </is>
      </c>
      <c r="M238" s="12" t="inlineStr">
        <is>
          <t>Reduces fraud, privacy leakage, unauthorized overrides and unresolved operational disputes.</t>
        </is>
      </c>
      <c r="N238" s="12" t="inlineStr">
        <is>
          <t>Roles, permissions, approval hierarchy and audit service are configured; allowed and denied test users exist.</t>
        </is>
      </c>
      <c r="O23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38" s="12" t="inlineStr">
        <is>
          <t>Tampered IDs, expired sessions, approval-limit violations and cross-tenant requests are rejected; secrets and sensitive guest/payment fields are never written to logs.</t>
        </is>
      </c>
      <c r="Q238" s="12" t="inlineStr">
        <is>
          <t>Tenant/property scope; required fields; optimistic locking; timezone-safe dates; reason mandatory for overrides; currency precision; tax/rate totals; approval limit; no unbalanced or duplicate posting</t>
        </is>
      </c>
      <c r="R238" s="12" t="inlineStr">
        <is>
          <t>Inventory, Finance, Guests</t>
        </is>
      </c>
      <c r="S238" s="12" t="inlineStr">
        <is>
          <t>GET, POST, PUT/PATCH, DELETE /api/v1/menu-item-management; lookup, validation and audit endpoints; idempotency for financial/booking writes; entities: outlets, tables, menu_items, pos_orders, pos_bills, kitchen_tickets</t>
        </is>
      </c>
      <c r="T238" s="12" t="inlineStr">
        <is>
          <t>Should Have</t>
        </is>
      </c>
      <c r="U238" s="12" t="inlineStr">
        <is>
          <t>Release 1.1</t>
        </is>
      </c>
      <c r="V238" s="34" t="n">
        <v>5</v>
      </c>
      <c r="W238" s="12" t="inlineStr">
        <is>
          <t>S12-S13</t>
        </is>
      </c>
      <c r="X238" s="12" t="inlineStr">
        <is>
          <t>Backlog</t>
        </is>
      </c>
      <c r="Y238" s="13">
        <f>IF(X238="Done",1,IF(X238="QA",0.9,IF(X238="Code Review",0.75,IF(X238="In Development",0.5,IF(X238="Ready",0.1,0)))))</f>
        <v/>
      </c>
      <c r="Z238" s="12" t="n"/>
      <c r="AA238" s="12" t="inlineStr">
        <is>
          <t>TC-082-C</t>
        </is>
      </c>
      <c r="AB238" s="12" t="inlineStr">
        <is>
          <t>Approved screen design; story reviewed with F&amp;B Manager; dependencies, API contract, role permissions and test data identified.</t>
        </is>
      </c>
      <c r="AC238" s="12" t="inlineStr">
        <is>
          <t>Code reviewed; unit, API, UI, RBAC and integration tests pass; accessibility and responsive states verified; audit evidence captured; product owner accepts in staging.</t>
        </is>
      </c>
      <c r="AD238" s="12" t="n"/>
    </row>
    <row r="239" ht="78" customHeight="1" s="43">
      <c r="A239" s="11" t="n">
        <v>2</v>
      </c>
      <c r="B239" s="11" t="n">
        <v>235</v>
      </c>
      <c r="C239" s="12" t="inlineStr">
        <is>
          <t>US-083-01</t>
        </is>
      </c>
      <c r="D239" s="12" t="inlineStr">
        <is>
          <t>View and find information in Outlet and Table Configuration</t>
        </is>
      </c>
      <c r="E239" s="12" t="inlineStr">
        <is>
          <t>EPIC-07</t>
        </is>
      </c>
      <c r="F239" s="12" t="inlineStr">
        <is>
          <t>Food &amp; Beverage</t>
        </is>
      </c>
      <c r="G239" s="12" t="inlineStr">
        <is>
          <t>Outlet Configuration</t>
        </is>
      </c>
      <c r="H239" s="11" t="inlineStr">
        <is>
          <t>SCR-083</t>
        </is>
      </c>
      <c r="I239" s="12" t="inlineStr">
        <is>
          <t>Outlet and Table Configuration</t>
        </is>
      </c>
      <c r="J239" s="12" t="inlineStr">
        <is>
          <t>View / Search</t>
        </is>
      </c>
      <c r="K239" s="12" t="inlineStr">
        <is>
          <t>F&amp;B Manager</t>
        </is>
      </c>
      <c r="L239" s="12" t="inlineStr">
        <is>
          <t>As a F&amp;B Manager, I want to open Outlet and Table Configuration and find relevant records using search, filters and sorting, so that I can make accurate operational decisions.</t>
        </is>
      </c>
      <c r="M239" s="12" t="inlineStr">
        <is>
          <t>Provides timely visibility for outlet configuration and reduces manual lookup effort.</t>
        </is>
      </c>
      <c r="N239" s="12" t="inlineStr">
        <is>
          <t>Authenticated user; active property; view permission for Food &amp; Beverage; Inventory, Finance, Guests data available.</t>
        </is>
      </c>
      <c r="O239" s="12" t="inlineStr">
        <is>
          <t>Given I am authenticated as F&amp;B Manager with access to the selected property, when I open Outlet and Table Configuration,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39" s="12" t="inlineStr">
        <is>
          <t>Cross-property data never appears; unauthorized fields are masked; invalid filters do not break the screen; unavailable services return a controlled message.</t>
        </is>
      </c>
      <c r="Q239" s="12" t="inlineStr">
        <is>
          <t>Tenant/property scope; required fields; optimistic locking; timezone-safe dates; reason mandatory for overrides; currency precision; tax/rate totals; approval limit; no unbalanced or duplicate posting</t>
        </is>
      </c>
      <c r="R239" s="12" t="inlineStr">
        <is>
          <t>Inventory, Finance, Guests</t>
        </is>
      </c>
      <c r="S239" s="12" t="inlineStr">
        <is>
          <t>GET, POST, PUT/PATCH, DELETE /api/v1/outlet-and-table-configuration; lookup, validation and audit endpoints; idempotency for financial/booking writes; entities: outlets, tables, menu_items, pos_orders, pos_bills, kitchen_tickets</t>
        </is>
      </c>
      <c r="T239" s="12" t="inlineStr">
        <is>
          <t>Should Have</t>
        </is>
      </c>
      <c r="U239" s="12" t="inlineStr">
        <is>
          <t>Release 1.1</t>
        </is>
      </c>
      <c r="V239" s="34" t="n">
        <v>3</v>
      </c>
      <c r="W239" s="12" t="inlineStr">
        <is>
          <t>S12-S13</t>
        </is>
      </c>
      <c r="X239" s="12" t="inlineStr">
        <is>
          <t>Backlog</t>
        </is>
      </c>
      <c r="Y239" s="13">
        <f>IF(X239="Done",1,IF(X239="QA",0.9,IF(X239="Code Review",0.75,IF(X239="In Development",0.5,IF(X239="Ready",0.1,0)))))</f>
        <v/>
      </c>
      <c r="Z239" s="12" t="n"/>
      <c r="AA239" s="12" t="inlineStr">
        <is>
          <t>TC-083-A</t>
        </is>
      </c>
      <c r="AB239" s="12" t="inlineStr">
        <is>
          <t>Approved screen design; story reviewed with F&amp;B Manager; dependencies, API contract, role permissions and test data identified.</t>
        </is>
      </c>
      <c r="AC239" s="12" t="inlineStr">
        <is>
          <t>Code reviewed; unit, API, UI, RBAC and integration tests pass; accessibility and responsive states verified; audit evidence captured; product owner accepts in staging.</t>
        </is>
      </c>
      <c r="AD239" s="12" t="n"/>
    </row>
    <row r="240" ht="78" customHeight="1" s="43">
      <c r="A240" s="11" t="n">
        <v>2</v>
      </c>
      <c r="B240" s="11" t="n">
        <v>236</v>
      </c>
      <c r="C240" s="12" t="inlineStr">
        <is>
          <t>US-083-02</t>
        </is>
      </c>
      <c r="D240" s="12" t="inlineStr">
        <is>
          <t>Complete the primary Outlet and Table Configuration workflow</t>
        </is>
      </c>
      <c r="E240" s="12" t="inlineStr">
        <is>
          <t>EPIC-07</t>
        </is>
      </c>
      <c r="F240" s="12" t="inlineStr">
        <is>
          <t>Food &amp; Beverage</t>
        </is>
      </c>
      <c r="G240" s="12" t="inlineStr">
        <is>
          <t>Outlet Configuration</t>
        </is>
      </c>
      <c r="H240" s="11" t="inlineStr">
        <is>
          <t>SCR-083</t>
        </is>
      </c>
      <c r="I240" s="12" t="inlineStr">
        <is>
          <t>Outlet and Table Configuration</t>
        </is>
      </c>
      <c r="J240" s="12" t="inlineStr">
        <is>
          <t>Primary Workflow</t>
        </is>
      </c>
      <c r="K240" s="12" t="inlineStr">
        <is>
          <t>F&amp;B Manager</t>
        </is>
      </c>
      <c r="L240" s="12" t="inlineStr">
        <is>
          <t>As a F&amp;B Manager, I want to list, view, create, edit, activate/deactivate, delete where safe in Outlet and Table Configuration, so that the outlet configuration process is completed accurately without duplicate or inconsistent records.</t>
        </is>
      </c>
      <c r="M240" s="12" t="inlineStr">
        <is>
          <t>Enable food &amp; beverage users to manage outlet configuration through the Outlet and Table Configuration workflow with real-time status, validations and traceability.</t>
        </is>
      </c>
      <c r="N240" s="12" t="inlineStr">
        <is>
          <t>View access confirmed; required masters and linked records exist; Inventory, Finance, Guests services are available; approval limit is valid.</t>
        </is>
      </c>
      <c r="O24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outlet and table configuration workflow; invalid or conflicting actions are blocked with clear messages; saved changes appear in related screens; sensitive changes are auditable.</t>
        </is>
      </c>
      <c r="P240" s="12" t="inlineStr">
        <is>
          <t>Duplicate submission is idempotent; stale data returns a refresh/conflict message; invalid status transitions are blocked; partial failure rolls back without orphan records.</t>
        </is>
      </c>
      <c r="Q240" s="12" t="inlineStr">
        <is>
          <t>Tenant/property scope; required fields; optimistic locking; timezone-safe dates; reason mandatory for overrides; currency precision; tax/rate totals; approval limit; no unbalanced or duplicate posting</t>
        </is>
      </c>
      <c r="R240" s="12" t="inlineStr">
        <is>
          <t>Inventory, Finance, Guests</t>
        </is>
      </c>
      <c r="S240" s="12" t="inlineStr">
        <is>
          <t>GET, POST, PUT/PATCH, DELETE /api/v1/outlet-and-table-configuration; lookup, validation and audit endpoints; idempotency for financial/booking writes; entities: outlets, tables, menu_items, pos_orders, pos_bills, kitchen_tickets</t>
        </is>
      </c>
      <c r="T240" s="12" t="inlineStr">
        <is>
          <t>Should Have</t>
        </is>
      </c>
      <c r="U240" s="12" t="inlineStr">
        <is>
          <t>Release 1.1</t>
        </is>
      </c>
      <c r="V240" s="34" t="n">
        <v>8</v>
      </c>
      <c r="W240" s="12" t="inlineStr">
        <is>
          <t>S12-S13</t>
        </is>
      </c>
      <c r="X240" s="12" t="inlineStr">
        <is>
          <t>Backlog</t>
        </is>
      </c>
      <c r="Y240" s="13">
        <f>IF(X240="Done",1,IF(X240="QA",0.9,IF(X240="Code Review",0.75,IF(X240="In Development",0.5,IF(X240="Ready",0.1,0)))))</f>
        <v/>
      </c>
      <c r="Z240" s="12" t="n"/>
      <c r="AA240" s="12" t="inlineStr">
        <is>
          <t>TC-083-B</t>
        </is>
      </c>
      <c r="AB240" s="12" t="inlineStr">
        <is>
          <t>Approved screen design; story reviewed with F&amp;B Manager; dependencies, API contract, role permissions and test data identified.</t>
        </is>
      </c>
      <c r="AC240" s="12" t="inlineStr">
        <is>
          <t>Code reviewed; unit, API, UI, RBAC and integration tests pass; accessibility and responsive states verified; audit evidence captured; product owner accepts in staging.</t>
        </is>
      </c>
      <c r="AD240" s="12" t="n"/>
    </row>
    <row r="241" ht="78" customHeight="1" s="43">
      <c r="A241" s="11" t="n">
        <v>2</v>
      </c>
      <c r="B241" s="11" t="n">
        <v>237</v>
      </c>
      <c r="C241" s="12" t="inlineStr">
        <is>
          <t>US-083-03</t>
        </is>
      </c>
      <c r="D241" s="12" t="inlineStr">
        <is>
          <t>Control permissions, overrides and audit for Outlet and Table Configuration</t>
        </is>
      </c>
      <c r="E241" s="12" t="inlineStr">
        <is>
          <t>EPIC-07</t>
        </is>
      </c>
      <c r="F241" s="12" t="inlineStr">
        <is>
          <t>Food &amp; Beverage</t>
        </is>
      </c>
      <c r="G241" s="12" t="inlineStr">
        <is>
          <t>Outlet Configuration</t>
        </is>
      </c>
      <c r="H241" s="11" t="inlineStr">
        <is>
          <t>SCR-083</t>
        </is>
      </c>
      <c r="I241" s="12" t="inlineStr">
        <is>
          <t>Outlet and Table Configuration</t>
        </is>
      </c>
      <c r="J241" s="12" t="inlineStr">
        <is>
          <t>Security / Exceptions</t>
        </is>
      </c>
      <c r="K241" s="12" t="inlineStr">
        <is>
          <t>F&amp;B Manager</t>
        </is>
      </c>
      <c r="L241" s="12" t="inlineStr">
        <is>
          <t>As a department supervisor or auditor, I want sensitive actions in Outlet and Table Configuration to follow permissions, approval limits and audit rules, so that resort operations remain secure, compliant and traceable.</t>
        </is>
      </c>
      <c r="M241" s="12" t="inlineStr">
        <is>
          <t>Reduces fraud, privacy leakage, unauthorized overrides and unresolved operational disputes.</t>
        </is>
      </c>
      <c r="N241" s="12" t="inlineStr">
        <is>
          <t>Roles, permissions, approval hierarchy and audit service are configured; allowed and denied test users exist.</t>
        </is>
      </c>
      <c r="O24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41" s="12" t="inlineStr">
        <is>
          <t>Tampered IDs, expired sessions, approval-limit violations and cross-tenant requests are rejected; secrets and sensitive guest/payment fields are never written to logs.</t>
        </is>
      </c>
      <c r="Q241" s="12" t="inlineStr">
        <is>
          <t>Tenant/property scope; required fields; optimistic locking; timezone-safe dates; reason mandatory for overrides; currency precision; tax/rate totals; approval limit; no unbalanced or duplicate posting</t>
        </is>
      </c>
      <c r="R241" s="12" t="inlineStr">
        <is>
          <t>Inventory, Finance, Guests</t>
        </is>
      </c>
      <c r="S241" s="12" t="inlineStr">
        <is>
          <t>GET, POST, PUT/PATCH, DELETE /api/v1/outlet-and-table-configuration; lookup, validation and audit endpoints; idempotency for financial/booking writes; entities: outlets, tables, menu_items, pos_orders, pos_bills, kitchen_tickets</t>
        </is>
      </c>
      <c r="T241" s="12" t="inlineStr">
        <is>
          <t>Should Have</t>
        </is>
      </c>
      <c r="U241" s="12" t="inlineStr">
        <is>
          <t>Release 1.1</t>
        </is>
      </c>
      <c r="V241" s="34" t="n">
        <v>5</v>
      </c>
      <c r="W241" s="12" t="inlineStr">
        <is>
          <t>S12-S13</t>
        </is>
      </c>
      <c r="X241" s="12" t="inlineStr">
        <is>
          <t>Backlog</t>
        </is>
      </c>
      <c r="Y241" s="13">
        <f>IF(X241="Done",1,IF(X241="QA",0.9,IF(X241="Code Review",0.75,IF(X241="In Development",0.5,IF(X241="Ready",0.1,0)))))</f>
        <v/>
      </c>
      <c r="Z241" s="12" t="n"/>
      <c r="AA241" s="12" t="inlineStr">
        <is>
          <t>TC-083-C</t>
        </is>
      </c>
      <c r="AB241" s="12" t="inlineStr">
        <is>
          <t>Approved screen design; story reviewed with F&amp;B Manager; dependencies, API contract, role permissions and test data identified.</t>
        </is>
      </c>
      <c r="AC241" s="12" t="inlineStr">
        <is>
          <t>Code reviewed; unit, API, UI, RBAC and integration tests pass; accessibility and responsive states verified; audit evidence captured; product owner accepts in staging.</t>
        </is>
      </c>
      <c r="AD241" s="12" t="n"/>
    </row>
    <row r="242" ht="78" customHeight="1" s="43">
      <c r="A242" s="11" t="n">
        <v>2</v>
      </c>
      <c r="B242" s="11" t="n">
        <v>238</v>
      </c>
      <c r="C242" s="12" t="inlineStr">
        <is>
          <t>US-020-01</t>
        </is>
      </c>
      <c r="D242" s="12" t="inlineStr">
        <is>
          <t>View and find information in Inventory Management</t>
        </is>
      </c>
      <c r="E242" s="12" t="inlineStr">
        <is>
          <t>EPIC-14</t>
        </is>
      </c>
      <c r="F242" s="12" t="inlineStr">
        <is>
          <t>Inventory</t>
        </is>
      </c>
      <c r="G242" s="12" t="inlineStr">
        <is>
          <t>Stock Operations</t>
        </is>
      </c>
      <c r="H242" s="11" t="inlineStr">
        <is>
          <t>SCR-020</t>
        </is>
      </c>
      <c r="I242" s="12" t="inlineStr">
        <is>
          <t>Inventory Management</t>
        </is>
      </c>
      <c r="J242" s="12" t="inlineStr">
        <is>
          <t>View / Search</t>
        </is>
      </c>
      <c r="K242" s="12" t="inlineStr">
        <is>
          <t>Store Manager</t>
        </is>
      </c>
      <c r="L242" s="12" t="inlineStr">
        <is>
          <t>As a Store Manager, I want to open Inventory Management and find relevant records using search, filters and sorting, so that I can make accurate operational decisions.</t>
        </is>
      </c>
      <c r="M242" s="12" t="inlineStr">
        <is>
          <t>Provides timely visibility for stock operations and reduces manual lookup effort.</t>
        </is>
      </c>
      <c r="N242" s="12" t="inlineStr">
        <is>
          <t>Authenticated user; active property; view permission for Inventory; Purchasing, POS, Maintenance data available.</t>
        </is>
      </c>
      <c r="O242" s="12" t="inlineStr">
        <is>
          <t>Given I am authenticated as Store Manager with access to the selected property, when I open Inventory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42" s="12" t="inlineStr">
        <is>
          <t>Cross-property data never appears; unauthorized fields are masked; invalid filters do not break the screen; unavailable services return a controlled message.</t>
        </is>
      </c>
      <c r="Q242" s="12" t="inlineStr">
        <is>
          <t>Tenant/property scope; required fields; optimistic locking; timezone-safe dates; reason mandatory for overrides; valid status transition; linked-record integrity</t>
        </is>
      </c>
      <c r="R242" s="12" t="inlineStr">
        <is>
          <t>Purchasing, POS, Maintenance</t>
        </is>
      </c>
      <c r="S242" s="12" t="inlineStr">
        <is>
          <t>GET, POST, PUT/PATCH, DELETE /api/v1/inventory-management; lookup, validation and audit endpoints; idempotency for financial/booking writes; entities: inventory_items, warehouses, stock_ledger, stock_adjustments</t>
        </is>
      </c>
      <c r="T242" s="12" t="inlineStr">
        <is>
          <t>Should Have</t>
        </is>
      </c>
      <c r="U242" s="12" t="inlineStr">
        <is>
          <t>Release 1.1</t>
        </is>
      </c>
      <c r="V242" s="34" t="n">
        <v>3</v>
      </c>
      <c r="W242" s="12" t="inlineStr">
        <is>
          <t>S14-S15</t>
        </is>
      </c>
      <c r="X242" s="12" t="inlineStr">
        <is>
          <t>Backlog</t>
        </is>
      </c>
      <c r="Y242" s="13">
        <f>IF(X242="Done",1,IF(X242="QA",0.9,IF(X242="Code Review",0.75,IF(X242="In Development",0.5,IF(X242="Ready",0.1,0)))))</f>
        <v/>
      </c>
      <c r="Z242" s="12" t="n"/>
      <c r="AA242" s="12" t="inlineStr">
        <is>
          <t>TC-020-A</t>
        </is>
      </c>
      <c r="AB242" s="12" t="inlineStr">
        <is>
          <t>Approved screen design; story reviewed with Store Manager; dependencies, API contract, role permissions and test data identified.</t>
        </is>
      </c>
      <c r="AC242" s="12" t="inlineStr">
        <is>
          <t>Code reviewed; unit, API, UI, RBAC and integration tests pass; accessibility and responsive states verified; audit evidence captured; product owner accepts in staging.</t>
        </is>
      </c>
      <c r="AD242" s="12" t="n"/>
    </row>
    <row r="243" ht="78" customHeight="1" s="43">
      <c r="A243" s="11" t="n">
        <v>2</v>
      </c>
      <c r="B243" s="11" t="n">
        <v>239</v>
      </c>
      <c r="C243" s="12" t="inlineStr">
        <is>
          <t>US-020-02</t>
        </is>
      </c>
      <c r="D243" s="12" t="inlineStr">
        <is>
          <t>Complete the primary Inventory Management workflow</t>
        </is>
      </c>
      <c r="E243" s="12" t="inlineStr">
        <is>
          <t>EPIC-14</t>
        </is>
      </c>
      <c r="F243" s="12" t="inlineStr">
        <is>
          <t>Inventory</t>
        </is>
      </c>
      <c r="G243" s="12" t="inlineStr">
        <is>
          <t>Stock Operations</t>
        </is>
      </c>
      <c r="H243" s="11" t="inlineStr">
        <is>
          <t>SCR-020</t>
        </is>
      </c>
      <c r="I243" s="12" t="inlineStr">
        <is>
          <t>Inventory Management</t>
        </is>
      </c>
      <c r="J243" s="12" t="inlineStr">
        <is>
          <t>Primary Workflow</t>
        </is>
      </c>
      <c r="K243" s="12" t="inlineStr">
        <is>
          <t>Store Manager</t>
        </is>
      </c>
      <c r="L243" s="12" t="inlineStr">
        <is>
          <t>As a Store Manager, I want to list, view, create, edit, activate/deactivate, delete where safe in Inventory Management, so that the stock operations process is completed accurately without duplicate or inconsistent records.</t>
        </is>
      </c>
      <c r="M243" s="12" t="inlineStr">
        <is>
          <t>Enable inventory users to manage stock operations through the Inventory Management workflow with real-time status, validations and traceability.</t>
        </is>
      </c>
      <c r="N243" s="12" t="inlineStr">
        <is>
          <t>View access confirmed; required masters and linked records exist; Purchasing, POS, Maintenance services are available; approval limit is valid.</t>
        </is>
      </c>
      <c r="O24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inventory management workflow; invalid or conflicting actions are blocked with clear messages; saved changes appear in related screens; sensitive changes are auditable.</t>
        </is>
      </c>
      <c r="P243" s="12" t="inlineStr">
        <is>
          <t>Duplicate submission is idempotent; stale data returns a refresh/conflict message; invalid status transitions are blocked; partial failure rolls back without orphan records.</t>
        </is>
      </c>
      <c r="Q243" s="12" t="inlineStr">
        <is>
          <t>Tenant/property scope; required fields; optimistic locking; timezone-safe dates; reason mandatory for overrides; valid status transition; linked-record integrity</t>
        </is>
      </c>
      <c r="R243" s="12" t="inlineStr">
        <is>
          <t>Purchasing, POS, Maintenance</t>
        </is>
      </c>
      <c r="S243" s="12" t="inlineStr">
        <is>
          <t>GET, POST, PUT/PATCH, DELETE /api/v1/inventory-management; lookup, validation and audit endpoints; idempotency for financial/booking writes; entities: inventory_items, warehouses, stock_ledger, stock_adjustments</t>
        </is>
      </c>
      <c r="T243" s="12" t="inlineStr">
        <is>
          <t>Should Have</t>
        </is>
      </c>
      <c r="U243" s="12" t="inlineStr">
        <is>
          <t>Release 1.1</t>
        </is>
      </c>
      <c r="V243" s="34" t="n">
        <v>5</v>
      </c>
      <c r="W243" s="12" t="inlineStr">
        <is>
          <t>S14-S15</t>
        </is>
      </c>
      <c r="X243" s="12" t="inlineStr">
        <is>
          <t>Backlog</t>
        </is>
      </c>
      <c r="Y243" s="13">
        <f>IF(X243="Done",1,IF(X243="QA",0.9,IF(X243="Code Review",0.75,IF(X243="In Development",0.5,IF(X243="Ready",0.1,0)))))</f>
        <v/>
      </c>
      <c r="Z243" s="12" t="n"/>
      <c r="AA243" s="12" t="inlineStr">
        <is>
          <t>TC-020-B</t>
        </is>
      </c>
      <c r="AB243" s="12" t="inlineStr">
        <is>
          <t>Approved screen design; story reviewed with Store Manager; dependencies, API contract, role permissions and test data identified.</t>
        </is>
      </c>
      <c r="AC243" s="12" t="inlineStr">
        <is>
          <t>Code reviewed; unit, API, UI, RBAC and integration tests pass; accessibility and responsive states verified; audit evidence captured; product owner accepts in staging.</t>
        </is>
      </c>
      <c r="AD243" s="12" t="n"/>
    </row>
    <row r="244" ht="78" customHeight="1" s="43">
      <c r="A244" s="11" t="n">
        <v>2</v>
      </c>
      <c r="B244" s="11" t="n">
        <v>240</v>
      </c>
      <c r="C244" s="12" t="inlineStr">
        <is>
          <t>US-020-03</t>
        </is>
      </c>
      <c r="D244" s="12" t="inlineStr">
        <is>
          <t>Control permissions, overrides and audit for Inventory Management</t>
        </is>
      </c>
      <c r="E244" s="12" t="inlineStr">
        <is>
          <t>EPIC-14</t>
        </is>
      </c>
      <c r="F244" s="12" t="inlineStr">
        <is>
          <t>Inventory</t>
        </is>
      </c>
      <c r="G244" s="12" t="inlineStr">
        <is>
          <t>Stock Operations</t>
        </is>
      </c>
      <c r="H244" s="11" t="inlineStr">
        <is>
          <t>SCR-020</t>
        </is>
      </c>
      <c r="I244" s="12" t="inlineStr">
        <is>
          <t>Inventory Management</t>
        </is>
      </c>
      <c r="J244" s="12" t="inlineStr">
        <is>
          <t>Security / Exceptions</t>
        </is>
      </c>
      <c r="K244" s="12" t="inlineStr">
        <is>
          <t>Store Manager</t>
        </is>
      </c>
      <c r="L244" s="12" t="inlineStr">
        <is>
          <t>As a department supervisor or auditor, I want sensitive actions in Inventory Management to follow permissions, approval limits and audit rules, so that resort operations remain secure, compliant and traceable.</t>
        </is>
      </c>
      <c r="M244" s="12" t="inlineStr">
        <is>
          <t>Reduces fraud, privacy leakage, unauthorized overrides and unresolved operational disputes.</t>
        </is>
      </c>
      <c r="N244" s="12" t="inlineStr">
        <is>
          <t>Roles, permissions, approval hierarchy and audit service are configured; allowed and denied test users exist.</t>
        </is>
      </c>
      <c r="O24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44" s="12" t="inlineStr">
        <is>
          <t>Tampered IDs, expired sessions, approval-limit violations and cross-tenant requests are rejected; secrets and sensitive guest/payment fields are never written to logs.</t>
        </is>
      </c>
      <c r="Q244" s="12" t="inlineStr">
        <is>
          <t>Tenant/property scope; required fields; optimistic locking; timezone-safe dates; reason mandatory for overrides; valid status transition; linked-record integrity</t>
        </is>
      </c>
      <c r="R244" s="12" t="inlineStr">
        <is>
          <t>Purchasing, POS, Maintenance</t>
        </is>
      </c>
      <c r="S244" s="12" t="inlineStr">
        <is>
          <t>GET, POST, PUT/PATCH, DELETE /api/v1/inventory-management; lookup, validation and audit endpoints; idempotency for financial/booking writes; entities: inventory_items, warehouses, stock_ledger, stock_adjustments</t>
        </is>
      </c>
      <c r="T244" s="12" t="inlineStr">
        <is>
          <t>Should Have</t>
        </is>
      </c>
      <c r="U244" s="12" t="inlineStr">
        <is>
          <t>Release 1.1</t>
        </is>
      </c>
      <c r="V244" s="34" t="n">
        <v>3</v>
      </c>
      <c r="W244" s="12" t="inlineStr">
        <is>
          <t>S14-S15</t>
        </is>
      </c>
      <c r="X244" s="12" t="inlineStr">
        <is>
          <t>Backlog</t>
        </is>
      </c>
      <c r="Y244" s="13">
        <f>IF(X244="Done",1,IF(X244="QA",0.9,IF(X244="Code Review",0.75,IF(X244="In Development",0.5,IF(X244="Ready",0.1,0)))))</f>
        <v/>
      </c>
      <c r="Z244" s="12" t="n"/>
      <c r="AA244" s="12" t="inlineStr">
        <is>
          <t>TC-020-C</t>
        </is>
      </c>
      <c r="AB244" s="12" t="inlineStr">
        <is>
          <t>Approved screen design; story reviewed with Store Manager; dependencies, API contract, role permissions and test data identified.</t>
        </is>
      </c>
      <c r="AC244" s="12" t="inlineStr">
        <is>
          <t>Code reviewed; unit, API, UI, RBAC and integration tests pass; accessibility and responsive states verified; audit evidence captured; product owner accepts in staging.</t>
        </is>
      </c>
      <c r="AD244" s="12" t="n"/>
    </row>
    <row r="245" ht="78" customHeight="1" s="43">
      <c r="A245" s="11" t="n">
        <v>2</v>
      </c>
      <c r="B245" s="11" t="n">
        <v>241</v>
      </c>
      <c r="C245" s="12" t="inlineStr">
        <is>
          <t>US-023-01</t>
        </is>
      </c>
      <c r="D245" s="12" t="inlineStr">
        <is>
          <t>View and find information in Purchasing and Vendor Approvals</t>
        </is>
      </c>
      <c r="E245" s="12" t="inlineStr">
        <is>
          <t>EPIC-17</t>
        </is>
      </c>
      <c r="F245" s="12" t="inlineStr">
        <is>
          <t>Purchasing</t>
        </is>
      </c>
      <c r="G245" s="12" t="inlineStr">
        <is>
          <t>Procurement Control</t>
        </is>
      </c>
      <c r="H245" s="11" t="inlineStr">
        <is>
          <t>SCR-023</t>
        </is>
      </c>
      <c r="I245" s="12" t="inlineStr">
        <is>
          <t>Purchasing and Vendor Approvals</t>
        </is>
      </c>
      <c r="J245" s="12" t="inlineStr">
        <is>
          <t>View / Search</t>
        </is>
      </c>
      <c r="K245" s="12" t="inlineStr">
        <is>
          <t>Purchase Manager</t>
        </is>
      </c>
      <c r="L245" s="12" t="inlineStr">
        <is>
          <t>As a Purchase Manager, I want to open Purchasing and Vendor Approvals and find relevant records using search, filters and sorting, so that I can make accurate operational decisions.</t>
        </is>
      </c>
      <c r="M245" s="12" t="inlineStr">
        <is>
          <t>Provides timely visibility for procurement control and reduces manual lookup effort.</t>
        </is>
      </c>
      <c r="N245" s="12" t="inlineStr">
        <is>
          <t>Authenticated user; active property; view permission for Purchasing; Inventory, Finance, Approvals data available.</t>
        </is>
      </c>
      <c r="O245" s="12" t="inlineStr">
        <is>
          <t>Given I am authenticated as Purchase Manager with access to the selected property, when I open Purchasing and Vendor Approvals,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45" s="12" t="inlineStr">
        <is>
          <t>Cross-property data never appears; unauthorized fields are masked; invalid filters do not break the screen; unavailable services return a controlled message.</t>
        </is>
      </c>
      <c r="Q245" s="12" t="inlineStr">
        <is>
          <t>Tenant/property scope; required fields; optimistic locking; timezone-safe dates; reason mandatory for overrides; currency precision; tax/rate totals; approval limit; no unbalanced or duplicate posting</t>
        </is>
      </c>
      <c r="R245" s="12" t="inlineStr">
        <is>
          <t>Inventory, Finance, Approvals</t>
        </is>
      </c>
      <c r="S245" s="12" t="inlineStr">
        <is>
          <t>GET, POST/PATCH /api/v1/purchasing-and-vendor-approvals; lookup, validation and audit endpoints; idempotency for financial/booking writes; entities: suppliers, requisitions, purchase_orders, goods_receipts, supplier_returns</t>
        </is>
      </c>
      <c r="T245" s="12" t="inlineStr">
        <is>
          <t>Should Have</t>
        </is>
      </c>
      <c r="U245" s="12" t="inlineStr">
        <is>
          <t>Release 1.1</t>
        </is>
      </c>
      <c r="V245" s="34" t="n">
        <v>3</v>
      </c>
      <c r="W245" s="12" t="inlineStr">
        <is>
          <t>S14-S15</t>
        </is>
      </c>
      <c r="X245" s="12" t="inlineStr">
        <is>
          <t>Backlog</t>
        </is>
      </c>
      <c r="Y245" s="13">
        <f>IF(X245="Done",1,IF(X245="QA",0.9,IF(X245="Code Review",0.75,IF(X245="In Development",0.5,IF(X245="Ready",0.1,0)))))</f>
        <v/>
      </c>
      <c r="Z245" s="12" t="n"/>
      <c r="AA245" s="12" t="inlineStr">
        <is>
          <t>TC-023-A</t>
        </is>
      </c>
      <c r="AB245" s="12" t="inlineStr">
        <is>
          <t>Approved screen design; story reviewed with Purchase Manager; dependencies, API contract, role permissions and test data identified.</t>
        </is>
      </c>
      <c r="AC245" s="12" t="inlineStr">
        <is>
          <t>Code reviewed; unit, API, UI, RBAC and integration tests pass; accessibility and responsive states verified; audit evidence captured; product owner accepts in staging.</t>
        </is>
      </c>
      <c r="AD245" s="12" t="n"/>
    </row>
    <row r="246" ht="78" customHeight="1" s="43">
      <c r="A246" s="11" t="n">
        <v>2</v>
      </c>
      <c r="B246" s="11" t="n">
        <v>242</v>
      </c>
      <c r="C246" s="12" t="inlineStr">
        <is>
          <t>US-023-02</t>
        </is>
      </c>
      <c r="D246" s="12" t="inlineStr">
        <is>
          <t>Complete the primary Purchasing and Vendor Approvals workflow</t>
        </is>
      </c>
      <c r="E246" s="12" t="inlineStr">
        <is>
          <t>EPIC-17</t>
        </is>
      </c>
      <c r="F246" s="12" t="inlineStr">
        <is>
          <t>Purchasing</t>
        </is>
      </c>
      <c r="G246" s="12" t="inlineStr">
        <is>
          <t>Procurement Control</t>
        </is>
      </c>
      <c r="H246" s="11" t="inlineStr">
        <is>
          <t>SCR-023</t>
        </is>
      </c>
      <c r="I246" s="12" t="inlineStr">
        <is>
          <t>Purchasing and Vendor Approvals</t>
        </is>
      </c>
      <c r="J246" s="12" t="inlineStr">
        <is>
          <t>Primary Workflow</t>
        </is>
      </c>
      <c r="K246" s="12" t="inlineStr">
        <is>
          <t>Purchase Manager</t>
        </is>
      </c>
      <c r="L246" s="12" t="inlineStr">
        <is>
          <t>As a Purchase Manager, I want to view, approve, reject, comment, escalate in Purchasing and Vendor Approvals, so that the procurement control process is completed accurately without duplicate or inconsistent records.</t>
        </is>
      </c>
      <c r="M246" s="12" t="inlineStr">
        <is>
          <t>Enable purchasing users to manage procurement control through the Purchasing and Vendor Approvals workflow with real-time status, validations and traceability.</t>
        </is>
      </c>
      <c r="N246" s="12" t="inlineStr">
        <is>
          <t>View access confirmed; required masters and linked records exist; Inventory, Finance, Approvals services are available; approval limit is valid.</t>
        </is>
      </c>
      <c r="O24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purchasing and vendor approvals workflow; invalid or conflicting actions are blocked with clear messages; saved changes appear in related screens; sensitive changes are auditable.</t>
        </is>
      </c>
      <c r="P246" s="12" t="inlineStr">
        <is>
          <t>Duplicate submission is idempotent; stale data returns a refresh/conflict message; invalid status transitions are blocked; partial failure rolls back without orphan records.</t>
        </is>
      </c>
      <c r="Q246" s="12" t="inlineStr">
        <is>
          <t>Tenant/property scope; required fields; optimistic locking; timezone-safe dates; reason mandatory for overrides; currency precision; tax/rate totals; approval limit; no unbalanced or duplicate posting</t>
        </is>
      </c>
      <c r="R246" s="12" t="inlineStr">
        <is>
          <t>Inventory, Finance, Approvals</t>
        </is>
      </c>
      <c r="S246" s="12" t="inlineStr">
        <is>
          <t>GET, POST/PATCH /api/v1/purchasing-and-vendor-approvals; lookup, validation and audit endpoints; idempotency for financial/booking writes; entities: suppliers, requisitions, purchase_orders, goods_receipts, supplier_returns</t>
        </is>
      </c>
      <c r="T246" s="12" t="inlineStr">
        <is>
          <t>Should Have</t>
        </is>
      </c>
      <c r="U246" s="12" t="inlineStr">
        <is>
          <t>Release 1.1</t>
        </is>
      </c>
      <c r="V246" s="34" t="n">
        <v>5</v>
      </c>
      <c r="W246" s="12" t="inlineStr">
        <is>
          <t>S14-S15</t>
        </is>
      </c>
      <c r="X246" s="12" t="inlineStr">
        <is>
          <t>Backlog</t>
        </is>
      </c>
      <c r="Y246" s="13">
        <f>IF(X246="Done",1,IF(X246="QA",0.9,IF(X246="Code Review",0.75,IF(X246="In Development",0.5,IF(X246="Ready",0.1,0)))))</f>
        <v/>
      </c>
      <c r="Z246" s="12" t="n"/>
      <c r="AA246" s="12" t="inlineStr">
        <is>
          <t>TC-023-B</t>
        </is>
      </c>
      <c r="AB246" s="12" t="inlineStr">
        <is>
          <t>Approved screen design; story reviewed with Purchase Manager; dependencies, API contract, role permissions and test data identified.</t>
        </is>
      </c>
      <c r="AC246" s="12" t="inlineStr">
        <is>
          <t>Code reviewed; unit, API, UI, RBAC and integration tests pass; accessibility and responsive states verified; audit evidence captured; product owner accepts in staging.</t>
        </is>
      </c>
      <c r="AD246" s="12" t="n"/>
    </row>
    <row r="247" ht="78" customHeight="1" s="43">
      <c r="A247" s="11" t="n">
        <v>2</v>
      </c>
      <c r="B247" s="11" t="n">
        <v>243</v>
      </c>
      <c r="C247" s="12" t="inlineStr">
        <is>
          <t>US-023-03</t>
        </is>
      </c>
      <c r="D247" s="12" t="inlineStr">
        <is>
          <t>Control permissions, overrides and audit for Purchasing and Vendor Approvals</t>
        </is>
      </c>
      <c r="E247" s="12" t="inlineStr">
        <is>
          <t>EPIC-17</t>
        </is>
      </c>
      <c r="F247" s="12" t="inlineStr">
        <is>
          <t>Purchasing</t>
        </is>
      </c>
      <c r="G247" s="12" t="inlineStr">
        <is>
          <t>Procurement Control</t>
        </is>
      </c>
      <c r="H247" s="11" t="inlineStr">
        <is>
          <t>SCR-023</t>
        </is>
      </c>
      <c r="I247" s="12" t="inlineStr">
        <is>
          <t>Purchasing and Vendor Approvals</t>
        </is>
      </c>
      <c r="J247" s="12" t="inlineStr">
        <is>
          <t>Security / Exceptions</t>
        </is>
      </c>
      <c r="K247" s="12" t="inlineStr">
        <is>
          <t>Purchase Manager</t>
        </is>
      </c>
      <c r="L247" s="12" t="inlineStr">
        <is>
          <t>As a department supervisor or auditor, I want sensitive actions in Purchasing and Vendor Approvals to follow permissions, approval limits and audit rules, so that resort operations remain secure, compliant and traceable.</t>
        </is>
      </c>
      <c r="M247" s="12" t="inlineStr">
        <is>
          <t>Reduces fraud, privacy leakage, unauthorized overrides and unresolved operational disputes.</t>
        </is>
      </c>
      <c r="N247" s="12" t="inlineStr">
        <is>
          <t>Roles, permissions, approval hierarchy and audit service are configured; allowed and denied test users exist.</t>
        </is>
      </c>
      <c r="O24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47" s="12" t="inlineStr">
        <is>
          <t>Tampered IDs, expired sessions, approval-limit violations and cross-tenant requests are rejected; secrets and sensitive guest/payment fields are never written to logs.</t>
        </is>
      </c>
      <c r="Q247" s="12" t="inlineStr">
        <is>
          <t>Tenant/property scope; required fields; optimistic locking; timezone-safe dates; reason mandatory for overrides; currency precision; tax/rate totals; approval limit; no unbalanced or duplicate posting</t>
        </is>
      </c>
      <c r="R247" s="12" t="inlineStr">
        <is>
          <t>Inventory, Finance, Approvals</t>
        </is>
      </c>
      <c r="S247" s="12" t="inlineStr">
        <is>
          <t>GET, POST/PATCH /api/v1/purchasing-and-vendor-approvals; lookup, validation and audit endpoints; idempotency for financial/booking writes; entities: suppliers, requisitions, purchase_orders, goods_receipts, supplier_returns</t>
        </is>
      </c>
      <c r="T247" s="12" t="inlineStr">
        <is>
          <t>Should Have</t>
        </is>
      </c>
      <c r="U247" s="12" t="inlineStr">
        <is>
          <t>Release 1.1</t>
        </is>
      </c>
      <c r="V247" s="34" t="n">
        <v>3</v>
      </c>
      <c r="W247" s="12" t="inlineStr">
        <is>
          <t>S14-S15</t>
        </is>
      </c>
      <c r="X247" s="12" t="inlineStr">
        <is>
          <t>Backlog</t>
        </is>
      </c>
      <c r="Y247" s="13">
        <f>IF(X247="Done",1,IF(X247="QA",0.9,IF(X247="Code Review",0.75,IF(X247="In Development",0.5,IF(X247="Ready",0.1,0)))))</f>
        <v/>
      </c>
      <c r="Z247" s="12" t="n"/>
      <c r="AA247" s="12" t="inlineStr">
        <is>
          <t>TC-023-C</t>
        </is>
      </c>
      <c r="AB247" s="12" t="inlineStr">
        <is>
          <t>Approved screen design; story reviewed with Purchase Manager; dependencies, API contract, role permissions and test data identified.</t>
        </is>
      </c>
      <c r="AC247" s="12" t="inlineStr">
        <is>
          <t>Code reviewed; unit, API, UI, RBAC and integration tests pass; accessibility and responsive states verified; audit evidence captured; product owner accepts in staging.</t>
        </is>
      </c>
      <c r="AD247" s="12" t="n"/>
    </row>
    <row r="248" ht="78" customHeight="1" s="43">
      <c r="A248" s="11" t="n">
        <v>2</v>
      </c>
      <c r="B248" s="11" t="n">
        <v>244</v>
      </c>
      <c r="C248" s="12" t="inlineStr">
        <is>
          <t>US-102-01</t>
        </is>
      </c>
      <c r="D248" s="12" t="inlineStr">
        <is>
          <t>View and find information in Create or Edit Inventory Item</t>
        </is>
      </c>
      <c r="E248" s="12" t="inlineStr">
        <is>
          <t>EPIC-14</t>
        </is>
      </c>
      <c r="F248" s="12" t="inlineStr">
        <is>
          <t>Inventory</t>
        </is>
      </c>
      <c r="G248" s="12" t="inlineStr">
        <is>
          <t>Item Master</t>
        </is>
      </c>
      <c r="H248" s="11" t="inlineStr">
        <is>
          <t>SCR-102</t>
        </is>
      </c>
      <c r="I248" s="12" t="inlineStr">
        <is>
          <t>Create or Edit Inventory Item</t>
        </is>
      </c>
      <c r="J248" s="12" t="inlineStr">
        <is>
          <t>View / Search</t>
        </is>
      </c>
      <c r="K248" s="12" t="inlineStr">
        <is>
          <t>Store Manager</t>
        </is>
      </c>
      <c r="L248" s="12" t="inlineStr">
        <is>
          <t>As a Store Manager, I want to open Create or Edit Inventory Item and find relevant records using search, filters and sorting, so that I can make accurate operational decisions.</t>
        </is>
      </c>
      <c r="M248" s="12" t="inlineStr">
        <is>
          <t>Provides timely visibility for item master and reduces manual lookup effort.</t>
        </is>
      </c>
      <c r="N248" s="12" t="inlineStr">
        <is>
          <t>Authenticated user; active property; view permission for Inventory; Purchasing, POS, Maintenance data available.</t>
        </is>
      </c>
      <c r="O248" s="12" t="inlineStr">
        <is>
          <t>Given I am authenticated as Store Manager with access to the selected property, when I open Create or Edit Inventory Item,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48" s="12" t="inlineStr">
        <is>
          <t>Cross-property data never appears; unauthorized fields are masked; invalid filters do not break the screen; unavailable services return a controlled message.</t>
        </is>
      </c>
      <c r="Q248" s="12" t="inlineStr">
        <is>
          <t>Tenant/property scope; required fields; optimistic locking; timezone-safe dates; reason mandatory for overrides; valid status transition; linked-record integrity</t>
        </is>
      </c>
      <c r="R248" s="12" t="inlineStr">
        <is>
          <t>Purchasing, POS, Maintenance</t>
        </is>
      </c>
      <c r="S248" s="12" t="inlineStr">
        <is>
          <t>GET, POST, PUT/PATCH, DELETE /api/v1/create-or-edit-inventory-item; lookup, validation and audit endpoints; idempotency for financial/booking writes; entities: inventory_items, warehouses, stock_ledger, stock_adjustments</t>
        </is>
      </c>
      <c r="T248" s="12" t="inlineStr">
        <is>
          <t>Should Have</t>
        </is>
      </c>
      <c r="U248" s="12" t="inlineStr">
        <is>
          <t>Release 1.1</t>
        </is>
      </c>
      <c r="V248" s="34" t="n">
        <v>3</v>
      </c>
      <c r="W248" s="12" t="inlineStr">
        <is>
          <t>S14-S15</t>
        </is>
      </c>
      <c r="X248" s="12" t="inlineStr">
        <is>
          <t>Backlog</t>
        </is>
      </c>
      <c r="Y248" s="13">
        <f>IF(X248="Done",1,IF(X248="QA",0.9,IF(X248="Code Review",0.75,IF(X248="In Development",0.5,IF(X248="Ready",0.1,0)))))</f>
        <v/>
      </c>
      <c r="Z248" s="12" t="n"/>
      <c r="AA248" s="12" t="inlineStr">
        <is>
          <t>TC-102-A</t>
        </is>
      </c>
      <c r="AB248" s="12" t="inlineStr">
        <is>
          <t>Approved screen design; story reviewed with Store Manager; dependencies, API contract, role permissions and test data identified.</t>
        </is>
      </c>
      <c r="AC248" s="12" t="inlineStr">
        <is>
          <t>Code reviewed; unit, API, UI, RBAC and integration tests pass; accessibility and responsive states verified; audit evidence captured; product owner accepts in staging.</t>
        </is>
      </c>
      <c r="AD248" s="12" t="n"/>
    </row>
    <row r="249" ht="78" customHeight="1" s="43">
      <c r="A249" s="11" t="n">
        <v>2</v>
      </c>
      <c r="B249" s="11" t="n">
        <v>245</v>
      </c>
      <c r="C249" s="12" t="inlineStr">
        <is>
          <t>US-102-02</t>
        </is>
      </c>
      <c r="D249" s="12" t="inlineStr">
        <is>
          <t>Complete the primary Create or Edit Inventory Item workflow</t>
        </is>
      </c>
      <c r="E249" s="12" t="inlineStr">
        <is>
          <t>EPIC-14</t>
        </is>
      </c>
      <c r="F249" s="12" t="inlineStr">
        <is>
          <t>Inventory</t>
        </is>
      </c>
      <c r="G249" s="12" t="inlineStr">
        <is>
          <t>Item Master</t>
        </is>
      </c>
      <c r="H249" s="11" t="inlineStr">
        <is>
          <t>SCR-102</t>
        </is>
      </c>
      <c r="I249" s="12" t="inlineStr">
        <is>
          <t>Create or Edit Inventory Item</t>
        </is>
      </c>
      <c r="J249" s="12" t="inlineStr">
        <is>
          <t>Primary Workflow</t>
        </is>
      </c>
      <c r="K249" s="12" t="inlineStr">
        <is>
          <t>Store Manager</t>
        </is>
      </c>
      <c r="L249" s="12" t="inlineStr">
        <is>
          <t>As a Store Manager, I want to list, view, create, edit, activate/deactivate, delete where safe in Create or Edit Inventory Item, so that the item master process is completed accurately without duplicate or inconsistent records.</t>
        </is>
      </c>
      <c r="M249" s="12" t="inlineStr">
        <is>
          <t>Enable inventory users to manage item master through the Create or Edit Inventory Item workflow with real-time status, validations and traceability.</t>
        </is>
      </c>
      <c r="N249" s="12" t="inlineStr">
        <is>
          <t>View access confirmed; required masters and linked records exist; Purchasing, POS, Maintenance services are available; approval limit is valid.</t>
        </is>
      </c>
      <c r="O24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or edit inventory item workflow; invalid or conflicting actions are blocked with clear messages; saved changes appear in related screens; sensitive changes are auditable.</t>
        </is>
      </c>
      <c r="P249" s="12" t="inlineStr">
        <is>
          <t>Duplicate submission is idempotent; stale data returns a refresh/conflict message; invalid status transitions are blocked; partial failure rolls back without orphan records.</t>
        </is>
      </c>
      <c r="Q249" s="12" t="inlineStr">
        <is>
          <t>Tenant/property scope; required fields; optimistic locking; timezone-safe dates; reason mandatory for overrides; valid status transition; linked-record integrity</t>
        </is>
      </c>
      <c r="R249" s="12" t="inlineStr">
        <is>
          <t>Purchasing, POS, Maintenance</t>
        </is>
      </c>
      <c r="S249" s="12" t="inlineStr">
        <is>
          <t>GET, POST, PUT/PATCH, DELETE /api/v1/create-or-edit-inventory-item; lookup, validation and audit endpoints; idempotency for financial/booking writes; entities: inventory_items, warehouses, stock_ledger, stock_adjustments</t>
        </is>
      </c>
      <c r="T249" s="12" t="inlineStr">
        <is>
          <t>Should Have</t>
        </is>
      </c>
      <c r="U249" s="12" t="inlineStr">
        <is>
          <t>Release 1.1</t>
        </is>
      </c>
      <c r="V249" s="34" t="n">
        <v>5</v>
      </c>
      <c r="W249" s="12" t="inlineStr">
        <is>
          <t>S14-S15</t>
        </is>
      </c>
      <c r="X249" s="12" t="inlineStr">
        <is>
          <t>Backlog</t>
        </is>
      </c>
      <c r="Y249" s="13">
        <f>IF(X249="Done",1,IF(X249="QA",0.9,IF(X249="Code Review",0.75,IF(X249="In Development",0.5,IF(X249="Ready",0.1,0)))))</f>
        <v/>
      </c>
      <c r="Z249" s="12" t="n"/>
      <c r="AA249" s="12" t="inlineStr">
        <is>
          <t>TC-102-B</t>
        </is>
      </c>
      <c r="AB249" s="12" t="inlineStr">
        <is>
          <t>Approved screen design; story reviewed with Store Manager; dependencies, API contract, role permissions and test data identified.</t>
        </is>
      </c>
      <c r="AC249" s="12" t="inlineStr">
        <is>
          <t>Code reviewed; unit, API, UI, RBAC and integration tests pass; accessibility and responsive states verified; audit evidence captured; product owner accepts in staging.</t>
        </is>
      </c>
      <c r="AD249" s="12" t="n"/>
    </row>
    <row r="250" ht="78" customHeight="1" s="43">
      <c r="A250" s="11" t="n">
        <v>2</v>
      </c>
      <c r="B250" s="11" t="n">
        <v>246</v>
      </c>
      <c r="C250" s="12" t="inlineStr">
        <is>
          <t>US-102-03</t>
        </is>
      </c>
      <c r="D250" s="12" t="inlineStr">
        <is>
          <t>Control permissions, overrides and audit for Create or Edit Inventory Item</t>
        </is>
      </c>
      <c r="E250" s="12" t="inlineStr">
        <is>
          <t>EPIC-14</t>
        </is>
      </c>
      <c r="F250" s="12" t="inlineStr">
        <is>
          <t>Inventory</t>
        </is>
      </c>
      <c r="G250" s="12" t="inlineStr">
        <is>
          <t>Item Master</t>
        </is>
      </c>
      <c r="H250" s="11" t="inlineStr">
        <is>
          <t>SCR-102</t>
        </is>
      </c>
      <c r="I250" s="12" t="inlineStr">
        <is>
          <t>Create or Edit Inventory Item</t>
        </is>
      </c>
      <c r="J250" s="12" t="inlineStr">
        <is>
          <t>Security / Exceptions</t>
        </is>
      </c>
      <c r="K250" s="12" t="inlineStr">
        <is>
          <t>Store Manager</t>
        </is>
      </c>
      <c r="L250" s="12" t="inlineStr">
        <is>
          <t>As a department supervisor or auditor, I want sensitive actions in Create or Edit Inventory Item to follow permissions, approval limits and audit rules, so that resort operations remain secure, compliant and traceable.</t>
        </is>
      </c>
      <c r="M250" s="12" t="inlineStr">
        <is>
          <t>Reduces fraud, privacy leakage, unauthorized overrides and unresolved operational disputes.</t>
        </is>
      </c>
      <c r="N250" s="12" t="inlineStr">
        <is>
          <t>Roles, permissions, approval hierarchy and audit service are configured; allowed and denied test users exist.</t>
        </is>
      </c>
      <c r="O25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50" s="12" t="inlineStr">
        <is>
          <t>Tampered IDs, expired sessions, approval-limit violations and cross-tenant requests are rejected; secrets and sensitive guest/payment fields are never written to logs.</t>
        </is>
      </c>
      <c r="Q250" s="12" t="inlineStr">
        <is>
          <t>Tenant/property scope; required fields; optimistic locking; timezone-safe dates; reason mandatory for overrides; valid status transition; linked-record integrity</t>
        </is>
      </c>
      <c r="R250" s="12" t="inlineStr">
        <is>
          <t>Purchasing, POS, Maintenance</t>
        </is>
      </c>
      <c r="S250" s="12" t="inlineStr">
        <is>
          <t>GET, POST, PUT/PATCH, DELETE /api/v1/create-or-edit-inventory-item; lookup, validation and audit endpoints; idempotency for financial/booking writes; entities: inventory_items, warehouses, stock_ledger, stock_adjustments</t>
        </is>
      </c>
      <c r="T250" s="12" t="inlineStr">
        <is>
          <t>Should Have</t>
        </is>
      </c>
      <c r="U250" s="12" t="inlineStr">
        <is>
          <t>Release 1.1</t>
        </is>
      </c>
      <c r="V250" s="34" t="n">
        <v>3</v>
      </c>
      <c r="W250" s="12" t="inlineStr">
        <is>
          <t>S14-S15</t>
        </is>
      </c>
      <c r="X250" s="12" t="inlineStr">
        <is>
          <t>Backlog</t>
        </is>
      </c>
      <c r="Y250" s="13">
        <f>IF(X250="Done",1,IF(X250="QA",0.9,IF(X250="Code Review",0.75,IF(X250="In Development",0.5,IF(X250="Ready",0.1,0)))))</f>
        <v/>
      </c>
      <c r="Z250" s="12" t="n"/>
      <c r="AA250" s="12" t="inlineStr">
        <is>
          <t>TC-102-C</t>
        </is>
      </c>
      <c r="AB250" s="12" t="inlineStr">
        <is>
          <t>Approved screen design; story reviewed with Store Manager; dependencies, API contract, role permissions and test data identified.</t>
        </is>
      </c>
      <c r="AC250" s="12" t="inlineStr">
        <is>
          <t>Code reviewed; unit, API, UI, RBAC and integration tests pass; accessibility and responsive states verified; audit evidence captured; product owner accepts in staging.</t>
        </is>
      </c>
      <c r="AD250" s="12" t="n"/>
    </row>
    <row r="251" ht="78" customHeight="1" s="43">
      <c r="A251" s="11" t="n">
        <v>2</v>
      </c>
      <c r="B251" s="11" t="n">
        <v>247</v>
      </c>
      <c r="C251" s="12" t="inlineStr">
        <is>
          <t>US-103-01</t>
        </is>
      </c>
      <c r="D251" s="12" t="inlineStr">
        <is>
          <t>View and find information in Inventory Masters</t>
        </is>
      </c>
      <c r="E251" s="12" t="inlineStr">
        <is>
          <t>EPIC-14</t>
        </is>
      </c>
      <c r="F251" s="12" t="inlineStr">
        <is>
          <t>Inventory</t>
        </is>
      </c>
      <c r="G251" s="12" t="inlineStr">
        <is>
          <t>Configuration</t>
        </is>
      </c>
      <c r="H251" s="11" t="inlineStr">
        <is>
          <t>SCR-103</t>
        </is>
      </c>
      <c r="I251" s="12" t="inlineStr">
        <is>
          <t>Inventory Masters</t>
        </is>
      </c>
      <c r="J251" s="12" t="inlineStr">
        <is>
          <t>View / Search</t>
        </is>
      </c>
      <c r="K251" s="12" t="inlineStr">
        <is>
          <t>Store Manager</t>
        </is>
      </c>
      <c r="L251" s="12" t="inlineStr">
        <is>
          <t>As a Store Manager, I want to open Inventory Masters and find relevant records using search, filters and sorting, so that I can make accurate operational decisions.</t>
        </is>
      </c>
      <c r="M251" s="12" t="inlineStr">
        <is>
          <t>Provides timely visibility for configuration and reduces manual lookup effort.</t>
        </is>
      </c>
      <c r="N251" s="12" t="inlineStr">
        <is>
          <t>Authenticated user; active property; view permission for Inventory; Purchasing, POS, Maintenance data available.</t>
        </is>
      </c>
      <c r="O251" s="12" t="inlineStr">
        <is>
          <t>Given I am authenticated as Store Manager with access to the selected property, when I open Inventory Masters,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51" s="12" t="inlineStr">
        <is>
          <t>Cross-property data never appears; unauthorized fields are masked; invalid filters do not break the screen; unavailable services return a controlled message.</t>
        </is>
      </c>
      <c r="Q251" s="12" t="inlineStr">
        <is>
          <t>Tenant/property scope; required fields; optimistic locking; timezone-safe dates; reason mandatory for overrides; valid status transition; linked-record integrity</t>
        </is>
      </c>
      <c r="R251" s="12" t="inlineStr">
        <is>
          <t>Purchasing, POS, Maintenance</t>
        </is>
      </c>
      <c r="S251" s="12" t="inlineStr">
        <is>
          <t>GET, POST, PUT/PATCH, DELETE /api/v1/inventory-masters; lookup, validation and audit endpoints; idempotency for financial/booking writes; entities: inventory_items, warehouses, stock_ledger, stock_adjustments</t>
        </is>
      </c>
      <c r="T251" s="12" t="inlineStr">
        <is>
          <t>Should Have</t>
        </is>
      </c>
      <c r="U251" s="12" t="inlineStr">
        <is>
          <t>Release 1.1</t>
        </is>
      </c>
      <c r="V251" s="34" t="n">
        <v>3</v>
      </c>
      <c r="W251" s="12" t="inlineStr">
        <is>
          <t>S14-S15</t>
        </is>
      </c>
      <c r="X251" s="12" t="inlineStr">
        <is>
          <t>Backlog</t>
        </is>
      </c>
      <c r="Y251" s="13">
        <f>IF(X251="Done",1,IF(X251="QA",0.9,IF(X251="Code Review",0.75,IF(X251="In Development",0.5,IF(X251="Ready",0.1,0)))))</f>
        <v/>
      </c>
      <c r="Z251" s="12" t="n"/>
      <c r="AA251" s="12" t="inlineStr">
        <is>
          <t>TC-103-A</t>
        </is>
      </c>
      <c r="AB251" s="12" t="inlineStr">
        <is>
          <t>Approved screen design; story reviewed with Store Manager; dependencies, API contract, role permissions and test data identified.</t>
        </is>
      </c>
      <c r="AC251" s="12" t="inlineStr">
        <is>
          <t>Code reviewed; unit, API, UI, RBAC and integration tests pass; accessibility and responsive states verified; audit evidence captured; product owner accepts in staging.</t>
        </is>
      </c>
      <c r="AD251" s="12" t="n"/>
    </row>
    <row r="252" ht="78" customHeight="1" s="43">
      <c r="A252" s="11" t="n">
        <v>2</v>
      </c>
      <c r="B252" s="11" t="n">
        <v>248</v>
      </c>
      <c r="C252" s="12" t="inlineStr">
        <is>
          <t>US-103-02</t>
        </is>
      </c>
      <c r="D252" s="12" t="inlineStr">
        <is>
          <t>Complete the primary Inventory Masters workflow</t>
        </is>
      </c>
      <c r="E252" s="12" t="inlineStr">
        <is>
          <t>EPIC-14</t>
        </is>
      </c>
      <c r="F252" s="12" t="inlineStr">
        <is>
          <t>Inventory</t>
        </is>
      </c>
      <c r="G252" s="12" t="inlineStr">
        <is>
          <t>Configuration</t>
        </is>
      </c>
      <c r="H252" s="11" t="inlineStr">
        <is>
          <t>SCR-103</t>
        </is>
      </c>
      <c r="I252" s="12" t="inlineStr">
        <is>
          <t>Inventory Masters</t>
        </is>
      </c>
      <c r="J252" s="12" t="inlineStr">
        <is>
          <t>Primary Workflow</t>
        </is>
      </c>
      <c r="K252" s="12" t="inlineStr">
        <is>
          <t>Store Manager</t>
        </is>
      </c>
      <c r="L252" s="12" t="inlineStr">
        <is>
          <t>As a Store Manager, I want to list, view, create, edit, activate/deactivate, delete where safe in Inventory Masters, so that the configuration process is completed accurately without duplicate or inconsistent records.</t>
        </is>
      </c>
      <c r="M252" s="12" t="inlineStr">
        <is>
          <t>Enable inventory users to manage configuration through the Inventory Masters workflow with real-time status, validations and traceability.</t>
        </is>
      </c>
      <c r="N252" s="12" t="inlineStr">
        <is>
          <t>View access confirmed; required masters and linked records exist; Purchasing, POS, Maintenance services are available; approval limit is valid.</t>
        </is>
      </c>
      <c r="O25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inventory masters workflow; invalid or conflicting actions are blocked with clear messages; saved changes appear in related screens; sensitive changes are auditable.</t>
        </is>
      </c>
      <c r="P252" s="12" t="inlineStr">
        <is>
          <t>Duplicate submission is idempotent; stale data returns a refresh/conflict message; invalid status transitions are blocked; partial failure rolls back without orphan records.</t>
        </is>
      </c>
      <c r="Q252" s="12" t="inlineStr">
        <is>
          <t>Tenant/property scope; required fields; optimistic locking; timezone-safe dates; reason mandatory for overrides; valid status transition; linked-record integrity</t>
        </is>
      </c>
      <c r="R252" s="12" t="inlineStr">
        <is>
          <t>Purchasing, POS, Maintenance</t>
        </is>
      </c>
      <c r="S252" s="12" t="inlineStr">
        <is>
          <t>GET, POST, PUT/PATCH, DELETE /api/v1/inventory-masters; lookup, validation and audit endpoints; idempotency for financial/booking writes; entities: inventory_items, warehouses, stock_ledger, stock_adjustments</t>
        </is>
      </c>
      <c r="T252" s="12" t="inlineStr">
        <is>
          <t>Should Have</t>
        </is>
      </c>
      <c r="U252" s="12" t="inlineStr">
        <is>
          <t>Release 1.1</t>
        </is>
      </c>
      <c r="V252" s="34" t="n">
        <v>5</v>
      </c>
      <c r="W252" s="12" t="inlineStr">
        <is>
          <t>S14-S15</t>
        </is>
      </c>
      <c r="X252" s="12" t="inlineStr">
        <is>
          <t>Backlog</t>
        </is>
      </c>
      <c r="Y252" s="13">
        <f>IF(X252="Done",1,IF(X252="QA",0.9,IF(X252="Code Review",0.75,IF(X252="In Development",0.5,IF(X252="Ready",0.1,0)))))</f>
        <v/>
      </c>
      <c r="Z252" s="12" t="n"/>
      <c r="AA252" s="12" t="inlineStr">
        <is>
          <t>TC-103-B</t>
        </is>
      </c>
      <c r="AB252" s="12" t="inlineStr">
        <is>
          <t>Approved screen design; story reviewed with Store Manager; dependencies, API contract, role permissions and test data identified.</t>
        </is>
      </c>
      <c r="AC252" s="12" t="inlineStr">
        <is>
          <t>Code reviewed; unit, API, UI, RBAC and integration tests pass; accessibility and responsive states verified; audit evidence captured; product owner accepts in staging.</t>
        </is>
      </c>
      <c r="AD252" s="12" t="n"/>
    </row>
    <row r="253" ht="78" customHeight="1" s="43">
      <c r="A253" s="11" t="n">
        <v>2</v>
      </c>
      <c r="B253" s="11" t="n">
        <v>249</v>
      </c>
      <c r="C253" s="12" t="inlineStr">
        <is>
          <t>US-103-03</t>
        </is>
      </c>
      <c r="D253" s="12" t="inlineStr">
        <is>
          <t>Control permissions, overrides and audit for Inventory Masters</t>
        </is>
      </c>
      <c r="E253" s="12" t="inlineStr">
        <is>
          <t>EPIC-14</t>
        </is>
      </c>
      <c r="F253" s="12" t="inlineStr">
        <is>
          <t>Inventory</t>
        </is>
      </c>
      <c r="G253" s="12" t="inlineStr">
        <is>
          <t>Configuration</t>
        </is>
      </c>
      <c r="H253" s="11" t="inlineStr">
        <is>
          <t>SCR-103</t>
        </is>
      </c>
      <c r="I253" s="12" t="inlineStr">
        <is>
          <t>Inventory Masters</t>
        </is>
      </c>
      <c r="J253" s="12" t="inlineStr">
        <is>
          <t>Security / Exceptions</t>
        </is>
      </c>
      <c r="K253" s="12" t="inlineStr">
        <is>
          <t>Store Manager</t>
        </is>
      </c>
      <c r="L253" s="12" t="inlineStr">
        <is>
          <t>As a department supervisor or auditor, I want sensitive actions in Inventory Masters to follow permissions, approval limits and audit rules, so that resort operations remain secure, compliant and traceable.</t>
        </is>
      </c>
      <c r="M253" s="12" t="inlineStr">
        <is>
          <t>Reduces fraud, privacy leakage, unauthorized overrides and unresolved operational disputes.</t>
        </is>
      </c>
      <c r="N253" s="12" t="inlineStr">
        <is>
          <t>Roles, permissions, approval hierarchy and audit service are configured; allowed and denied test users exist.</t>
        </is>
      </c>
      <c r="O25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53" s="12" t="inlineStr">
        <is>
          <t>Tampered IDs, expired sessions, approval-limit violations and cross-tenant requests are rejected; secrets and sensitive guest/payment fields are never written to logs.</t>
        </is>
      </c>
      <c r="Q253" s="12" t="inlineStr">
        <is>
          <t>Tenant/property scope; required fields; optimistic locking; timezone-safe dates; reason mandatory for overrides; valid status transition; linked-record integrity</t>
        </is>
      </c>
      <c r="R253" s="12" t="inlineStr">
        <is>
          <t>Purchasing, POS, Maintenance</t>
        </is>
      </c>
      <c r="S253" s="12" t="inlineStr">
        <is>
          <t>GET, POST, PUT/PATCH, DELETE /api/v1/inventory-masters; lookup, validation and audit endpoints; idempotency for financial/booking writes; entities: inventory_items, warehouses, stock_ledger, stock_adjustments</t>
        </is>
      </c>
      <c r="T253" s="12" t="inlineStr">
        <is>
          <t>Should Have</t>
        </is>
      </c>
      <c r="U253" s="12" t="inlineStr">
        <is>
          <t>Release 1.1</t>
        </is>
      </c>
      <c r="V253" s="34" t="n">
        <v>3</v>
      </c>
      <c r="W253" s="12" t="inlineStr">
        <is>
          <t>S14-S15</t>
        </is>
      </c>
      <c r="X253" s="12" t="inlineStr">
        <is>
          <t>Backlog</t>
        </is>
      </c>
      <c r="Y253" s="13">
        <f>IF(X253="Done",1,IF(X253="QA",0.9,IF(X253="Code Review",0.75,IF(X253="In Development",0.5,IF(X253="Ready",0.1,0)))))</f>
        <v/>
      </c>
      <c r="Z253" s="12" t="n"/>
      <c r="AA253" s="12" t="inlineStr">
        <is>
          <t>TC-103-C</t>
        </is>
      </c>
      <c r="AB253" s="12" t="inlineStr">
        <is>
          <t>Approved screen design; story reviewed with Store Manager; dependencies, API contract, role permissions and test data identified.</t>
        </is>
      </c>
      <c r="AC253" s="12" t="inlineStr">
        <is>
          <t>Code reviewed; unit, API, UI, RBAC and integration tests pass; accessibility and responsive states verified; audit evidence captured; product owner accepts in staging.</t>
        </is>
      </c>
      <c r="AD253" s="12" t="n"/>
    </row>
    <row r="254" ht="78" customHeight="1" s="43">
      <c r="A254" s="11" t="n">
        <v>2</v>
      </c>
      <c r="B254" s="11" t="n">
        <v>250</v>
      </c>
      <c r="C254" s="12" t="inlineStr">
        <is>
          <t>US-104-01</t>
        </is>
      </c>
      <c r="D254" s="12" t="inlineStr">
        <is>
          <t>View and find information in Stock Adjustment and Write-Off</t>
        </is>
      </c>
      <c r="E254" s="12" t="inlineStr">
        <is>
          <t>EPIC-14</t>
        </is>
      </c>
      <c r="F254" s="12" t="inlineStr">
        <is>
          <t>Inventory</t>
        </is>
      </c>
      <c r="G254" s="12" t="inlineStr">
        <is>
          <t>Stock Control</t>
        </is>
      </c>
      <c r="H254" s="11" t="inlineStr">
        <is>
          <t>SCR-104</t>
        </is>
      </c>
      <c r="I254" s="12" t="inlineStr">
        <is>
          <t>Stock Adjustment and Write-Off</t>
        </is>
      </c>
      <c r="J254" s="12" t="inlineStr">
        <is>
          <t>View / Search</t>
        </is>
      </c>
      <c r="K254" s="12" t="inlineStr">
        <is>
          <t>Store Manager</t>
        </is>
      </c>
      <c r="L254" s="12" t="inlineStr">
        <is>
          <t>As a Store Manager, I want to open Stock Adjustment and Write-Off and find relevant records using search, filters and sorting, so that I can make accurate operational decisions.</t>
        </is>
      </c>
      <c r="M254" s="12" t="inlineStr">
        <is>
          <t>Provides timely visibility for stock control and reduces manual lookup effort.</t>
        </is>
      </c>
      <c r="N254" s="12" t="inlineStr">
        <is>
          <t>Authenticated user; active property; view permission for Inventory; Purchasing, POS, Maintenance data available.</t>
        </is>
      </c>
      <c r="O254" s="12" t="inlineStr">
        <is>
          <t>Given I am authenticated as Store Manager with access to the selected property, when I open Stock Adjustment and Write-Off,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54" s="12" t="inlineStr">
        <is>
          <t>Cross-property data never appears; unauthorized fields are masked; invalid filters do not break the screen; unavailable services return a controlled message.</t>
        </is>
      </c>
      <c r="Q254" s="12" t="inlineStr">
        <is>
          <t>Tenant/property scope; required fields; optimistic locking; timezone-safe dates; reason mandatory for overrides; valid status transition; linked-record integrity</t>
        </is>
      </c>
      <c r="R254" s="12" t="inlineStr">
        <is>
          <t>Purchasing, POS, Maintenance</t>
        </is>
      </c>
      <c r="S254" s="12" t="inlineStr">
        <is>
          <t>GET, POST, PUT/PATCH, DELETE /api/v1/stock-adjustment-and-write-off; lookup, validation and audit endpoints; idempotency for financial/booking writes; entities: inventory_items, warehouses, stock_ledger, stock_adjustments</t>
        </is>
      </c>
      <c r="T254" s="12" t="inlineStr">
        <is>
          <t>Should Have</t>
        </is>
      </c>
      <c r="U254" s="12" t="inlineStr">
        <is>
          <t>Release 1.1</t>
        </is>
      </c>
      <c r="V254" s="34" t="n">
        <v>3</v>
      </c>
      <c r="W254" s="12" t="inlineStr">
        <is>
          <t>S14-S15</t>
        </is>
      </c>
      <c r="X254" s="12" t="inlineStr">
        <is>
          <t>Backlog</t>
        </is>
      </c>
      <c r="Y254" s="13">
        <f>IF(X254="Done",1,IF(X254="QA",0.9,IF(X254="Code Review",0.75,IF(X254="In Development",0.5,IF(X254="Ready",0.1,0)))))</f>
        <v/>
      </c>
      <c r="Z254" s="12" t="n"/>
      <c r="AA254" s="12" t="inlineStr">
        <is>
          <t>TC-104-A</t>
        </is>
      </c>
      <c r="AB254" s="12" t="inlineStr">
        <is>
          <t>Approved screen design; story reviewed with Store Manager; dependencies, API contract, role permissions and test data identified.</t>
        </is>
      </c>
      <c r="AC254" s="12" t="inlineStr">
        <is>
          <t>Code reviewed; unit, API, UI, RBAC and integration tests pass; accessibility and responsive states verified; audit evidence captured; product owner accepts in staging.</t>
        </is>
      </c>
      <c r="AD254" s="12" t="n"/>
    </row>
    <row r="255" ht="78" customHeight="1" s="43">
      <c r="A255" s="11" t="n">
        <v>2</v>
      </c>
      <c r="B255" s="11" t="n">
        <v>251</v>
      </c>
      <c r="C255" s="12" t="inlineStr">
        <is>
          <t>US-104-02</t>
        </is>
      </c>
      <c r="D255" s="12" t="inlineStr">
        <is>
          <t>Complete the primary Stock Adjustment and Write-Off workflow</t>
        </is>
      </c>
      <c r="E255" s="12" t="inlineStr">
        <is>
          <t>EPIC-14</t>
        </is>
      </c>
      <c r="F255" s="12" t="inlineStr">
        <is>
          <t>Inventory</t>
        </is>
      </c>
      <c r="G255" s="12" t="inlineStr">
        <is>
          <t>Stock Control</t>
        </is>
      </c>
      <c r="H255" s="11" t="inlineStr">
        <is>
          <t>SCR-104</t>
        </is>
      </c>
      <c r="I255" s="12" t="inlineStr">
        <is>
          <t>Stock Adjustment and Write-Off</t>
        </is>
      </c>
      <c r="J255" s="12" t="inlineStr">
        <is>
          <t>Primary Workflow</t>
        </is>
      </c>
      <c r="K255" s="12" t="inlineStr">
        <is>
          <t>Store Manager</t>
        </is>
      </c>
      <c r="L255" s="12" t="inlineStr">
        <is>
          <t>As a Store Manager, I want to list, search, filter, view, create, edit, cancel/delete under policy, export in Stock Adjustment and Write-Off, so that the stock control process is completed accurately without duplicate or inconsistent records.</t>
        </is>
      </c>
      <c r="M255" s="12" t="inlineStr">
        <is>
          <t>Enable inventory users to manage stock control through the Stock Adjustment and Write-Off workflow with real-time status, validations and traceability.</t>
        </is>
      </c>
      <c r="N255" s="12" t="inlineStr">
        <is>
          <t>View access confirmed; required masters and linked records exist; Purchasing, POS, Maintenance services are available; approval limit is valid.</t>
        </is>
      </c>
      <c r="O25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stock adjustment and write-off workflow; invalid or conflicting actions are blocked with clear messages; saved changes appear in related screens; sensitive changes are auditable.</t>
        </is>
      </c>
      <c r="P255" s="12" t="inlineStr">
        <is>
          <t>Duplicate submission is idempotent; stale data returns a refresh/conflict message; invalid status transitions are blocked; partial failure rolls back without orphan records.</t>
        </is>
      </c>
      <c r="Q255" s="12" t="inlineStr">
        <is>
          <t>Tenant/property scope; required fields; optimistic locking; timezone-safe dates; reason mandatory for overrides; valid status transition; linked-record integrity</t>
        </is>
      </c>
      <c r="R255" s="12" t="inlineStr">
        <is>
          <t>Purchasing, POS, Maintenance</t>
        </is>
      </c>
      <c r="S255" s="12" t="inlineStr">
        <is>
          <t>GET, POST, PUT/PATCH, DELETE /api/v1/stock-adjustment-and-write-off; lookup, validation and audit endpoints; idempotency for financial/booking writes; entities: inventory_items, warehouses, stock_ledger, stock_adjustments</t>
        </is>
      </c>
      <c r="T255" s="12" t="inlineStr">
        <is>
          <t>Should Have</t>
        </is>
      </c>
      <c r="U255" s="12" t="inlineStr">
        <is>
          <t>Release 1.1</t>
        </is>
      </c>
      <c r="V255" s="34" t="n">
        <v>5</v>
      </c>
      <c r="W255" s="12" t="inlineStr">
        <is>
          <t>S14-S15</t>
        </is>
      </c>
      <c r="X255" s="12" t="inlineStr">
        <is>
          <t>Backlog</t>
        </is>
      </c>
      <c r="Y255" s="13">
        <f>IF(X255="Done",1,IF(X255="QA",0.9,IF(X255="Code Review",0.75,IF(X255="In Development",0.5,IF(X255="Ready",0.1,0)))))</f>
        <v/>
      </c>
      <c r="Z255" s="12" t="n"/>
      <c r="AA255" s="12" t="inlineStr">
        <is>
          <t>TC-104-B</t>
        </is>
      </c>
      <c r="AB255" s="12" t="inlineStr">
        <is>
          <t>Approved screen design; story reviewed with Store Manager; dependencies, API contract, role permissions and test data identified.</t>
        </is>
      </c>
      <c r="AC255" s="12" t="inlineStr">
        <is>
          <t>Code reviewed; unit, API, UI, RBAC and integration tests pass; accessibility and responsive states verified; audit evidence captured; product owner accepts in staging.</t>
        </is>
      </c>
      <c r="AD255" s="12" t="n"/>
    </row>
    <row r="256" ht="78" customHeight="1" s="43">
      <c r="A256" s="11" t="n">
        <v>2</v>
      </c>
      <c r="B256" s="11" t="n">
        <v>252</v>
      </c>
      <c r="C256" s="12" t="inlineStr">
        <is>
          <t>US-104-03</t>
        </is>
      </c>
      <c r="D256" s="12" t="inlineStr">
        <is>
          <t>Control permissions, overrides and audit for Stock Adjustment and Write-Off</t>
        </is>
      </c>
      <c r="E256" s="12" t="inlineStr">
        <is>
          <t>EPIC-14</t>
        </is>
      </c>
      <c r="F256" s="12" t="inlineStr">
        <is>
          <t>Inventory</t>
        </is>
      </c>
      <c r="G256" s="12" t="inlineStr">
        <is>
          <t>Stock Control</t>
        </is>
      </c>
      <c r="H256" s="11" t="inlineStr">
        <is>
          <t>SCR-104</t>
        </is>
      </c>
      <c r="I256" s="12" t="inlineStr">
        <is>
          <t>Stock Adjustment and Write-Off</t>
        </is>
      </c>
      <c r="J256" s="12" t="inlineStr">
        <is>
          <t>Security / Exceptions</t>
        </is>
      </c>
      <c r="K256" s="12" t="inlineStr">
        <is>
          <t>Store Manager</t>
        </is>
      </c>
      <c r="L256" s="12" t="inlineStr">
        <is>
          <t>As a department supervisor or auditor, I want sensitive actions in Stock Adjustment and Write-Off to follow permissions, approval limits and audit rules, so that resort operations remain secure, compliant and traceable.</t>
        </is>
      </c>
      <c r="M256" s="12" t="inlineStr">
        <is>
          <t>Reduces fraud, privacy leakage, unauthorized overrides and unresolved operational disputes.</t>
        </is>
      </c>
      <c r="N256" s="12" t="inlineStr">
        <is>
          <t>Roles, permissions, approval hierarchy and audit service are configured; allowed and denied test users exist.</t>
        </is>
      </c>
      <c r="O25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56" s="12" t="inlineStr">
        <is>
          <t>Tampered IDs, expired sessions, approval-limit violations and cross-tenant requests are rejected; secrets and sensitive guest/payment fields are never written to logs.</t>
        </is>
      </c>
      <c r="Q256" s="12" t="inlineStr">
        <is>
          <t>Tenant/property scope; required fields; optimistic locking; timezone-safe dates; reason mandatory for overrides; valid status transition; linked-record integrity</t>
        </is>
      </c>
      <c r="R256" s="12" t="inlineStr">
        <is>
          <t>Purchasing, POS, Maintenance</t>
        </is>
      </c>
      <c r="S256" s="12" t="inlineStr">
        <is>
          <t>GET, POST, PUT/PATCH, DELETE /api/v1/stock-adjustment-and-write-off; lookup, validation and audit endpoints; idempotency for financial/booking writes; entities: inventory_items, warehouses, stock_ledger, stock_adjustments</t>
        </is>
      </c>
      <c r="T256" s="12" t="inlineStr">
        <is>
          <t>Should Have</t>
        </is>
      </c>
      <c r="U256" s="12" t="inlineStr">
        <is>
          <t>Release 1.1</t>
        </is>
      </c>
      <c r="V256" s="34" t="n">
        <v>3</v>
      </c>
      <c r="W256" s="12" t="inlineStr">
        <is>
          <t>S14-S15</t>
        </is>
      </c>
      <c r="X256" s="12" t="inlineStr">
        <is>
          <t>Backlog</t>
        </is>
      </c>
      <c r="Y256" s="13">
        <f>IF(X256="Done",1,IF(X256="QA",0.9,IF(X256="Code Review",0.75,IF(X256="In Development",0.5,IF(X256="Ready",0.1,0)))))</f>
        <v/>
      </c>
      <c r="Z256" s="12" t="n"/>
      <c r="AA256" s="12" t="inlineStr">
        <is>
          <t>TC-104-C</t>
        </is>
      </c>
      <c r="AB256" s="12" t="inlineStr">
        <is>
          <t>Approved screen design; story reviewed with Store Manager; dependencies, API contract, role permissions and test data identified.</t>
        </is>
      </c>
      <c r="AC256" s="12" t="inlineStr">
        <is>
          <t>Code reviewed; unit, API, UI, RBAC and integration tests pass; accessibility and responsive states verified; audit evidence captured; product owner accepts in staging.</t>
        </is>
      </c>
      <c r="AD256" s="12" t="n"/>
    </row>
    <row r="257" ht="78" customHeight="1" s="43">
      <c r="A257" s="11" t="n">
        <v>2</v>
      </c>
      <c r="B257" s="11" t="n">
        <v>253</v>
      </c>
      <c r="C257" s="12" t="inlineStr">
        <is>
          <t>US-105-01</t>
        </is>
      </c>
      <c r="D257" s="12" t="inlineStr">
        <is>
          <t>View and find information in Supplier Management</t>
        </is>
      </c>
      <c r="E257" s="12" t="inlineStr">
        <is>
          <t>EPIC-17</t>
        </is>
      </c>
      <c r="F257" s="12" t="inlineStr">
        <is>
          <t>Purchasing</t>
        </is>
      </c>
      <c r="G257" s="12" t="inlineStr">
        <is>
          <t>Suppliers</t>
        </is>
      </c>
      <c r="H257" s="11" t="inlineStr">
        <is>
          <t>SCR-105</t>
        </is>
      </c>
      <c r="I257" s="12" t="inlineStr">
        <is>
          <t>Supplier Management</t>
        </is>
      </c>
      <c r="J257" s="12" t="inlineStr">
        <is>
          <t>View / Search</t>
        </is>
      </c>
      <c r="K257" s="12" t="inlineStr">
        <is>
          <t>Purchase Manager</t>
        </is>
      </c>
      <c r="L257" s="12" t="inlineStr">
        <is>
          <t>As a Purchase Manager, I want to open Supplier Management and find relevant records using search, filters and sorting, so that I can make accurate operational decisions.</t>
        </is>
      </c>
      <c r="M257" s="12" t="inlineStr">
        <is>
          <t>Provides timely visibility for suppliers and reduces manual lookup effort.</t>
        </is>
      </c>
      <c r="N257" s="12" t="inlineStr">
        <is>
          <t>Authenticated user; active property; view permission for Purchasing; Inventory, Finance, Approvals data available.</t>
        </is>
      </c>
      <c r="O257" s="12" t="inlineStr">
        <is>
          <t>Given I am authenticated as Purchase Manager with access to the selected property, when I open Supplier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57" s="12" t="inlineStr">
        <is>
          <t>Cross-property data never appears; unauthorized fields are masked; invalid filters do not break the screen; unavailable services return a controlled message.</t>
        </is>
      </c>
      <c r="Q257" s="12" t="inlineStr">
        <is>
          <t>Tenant/property scope; required fields; optimistic locking; timezone-safe dates; reason mandatory for overrides; currency precision; tax/rate totals; approval limit; no unbalanced or duplicate posting</t>
        </is>
      </c>
      <c r="R257" s="12" t="inlineStr">
        <is>
          <t>Inventory, Finance, Approvals</t>
        </is>
      </c>
      <c r="S257" s="12" t="inlineStr">
        <is>
          <t>GET, POST, PUT/PATCH, DELETE /api/v1/supplier-management; lookup, validation and audit endpoints; idempotency for financial/booking writes; entities: suppliers, requisitions, purchase_orders, goods_receipts, supplier_returns</t>
        </is>
      </c>
      <c r="T257" s="12" t="inlineStr">
        <is>
          <t>Should Have</t>
        </is>
      </c>
      <c r="U257" s="12" t="inlineStr">
        <is>
          <t>Release 1.1</t>
        </is>
      </c>
      <c r="V257" s="34" t="n">
        <v>3</v>
      </c>
      <c r="W257" s="12" t="inlineStr">
        <is>
          <t>S14-S15</t>
        </is>
      </c>
      <c r="X257" s="12" t="inlineStr">
        <is>
          <t>Backlog</t>
        </is>
      </c>
      <c r="Y257" s="13">
        <f>IF(X257="Done",1,IF(X257="QA",0.9,IF(X257="Code Review",0.75,IF(X257="In Development",0.5,IF(X257="Ready",0.1,0)))))</f>
        <v/>
      </c>
      <c r="Z257" s="12" t="n"/>
      <c r="AA257" s="12" t="inlineStr">
        <is>
          <t>TC-105-A</t>
        </is>
      </c>
      <c r="AB257" s="12" t="inlineStr">
        <is>
          <t>Approved screen design; story reviewed with Purchase Manager; dependencies, API contract, role permissions and test data identified.</t>
        </is>
      </c>
      <c r="AC257" s="12" t="inlineStr">
        <is>
          <t>Code reviewed; unit, API, UI, RBAC and integration tests pass; accessibility and responsive states verified; audit evidence captured; product owner accepts in staging.</t>
        </is>
      </c>
      <c r="AD257" s="12" t="n"/>
    </row>
    <row r="258" ht="78" customHeight="1" s="43">
      <c r="A258" s="11" t="n">
        <v>2</v>
      </c>
      <c r="B258" s="11" t="n">
        <v>254</v>
      </c>
      <c r="C258" s="12" t="inlineStr">
        <is>
          <t>US-105-02</t>
        </is>
      </c>
      <c r="D258" s="12" t="inlineStr">
        <is>
          <t>Complete the primary Supplier Management workflow</t>
        </is>
      </c>
      <c r="E258" s="12" t="inlineStr">
        <is>
          <t>EPIC-17</t>
        </is>
      </c>
      <c r="F258" s="12" t="inlineStr">
        <is>
          <t>Purchasing</t>
        </is>
      </c>
      <c r="G258" s="12" t="inlineStr">
        <is>
          <t>Suppliers</t>
        </is>
      </c>
      <c r="H258" s="11" t="inlineStr">
        <is>
          <t>SCR-105</t>
        </is>
      </c>
      <c r="I258" s="12" t="inlineStr">
        <is>
          <t>Supplier Management</t>
        </is>
      </c>
      <c r="J258" s="12" t="inlineStr">
        <is>
          <t>Primary Workflow</t>
        </is>
      </c>
      <c r="K258" s="12" t="inlineStr">
        <is>
          <t>Purchase Manager</t>
        </is>
      </c>
      <c r="L258" s="12" t="inlineStr">
        <is>
          <t>As a Purchase Manager, I want to list, view, create, edit, activate/deactivate, delete where safe in Supplier Management, so that the suppliers process is completed accurately without duplicate or inconsistent records.</t>
        </is>
      </c>
      <c r="M258" s="12" t="inlineStr">
        <is>
          <t>Enable purchasing users to manage suppliers through the Supplier Management workflow with real-time status, validations and traceability.</t>
        </is>
      </c>
      <c r="N258" s="12" t="inlineStr">
        <is>
          <t>View access confirmed; required masters and linked records exist; Inventory, Finance, Approvals services are available; approval limit is valid.</t>
        </is>
      </c>
      <c r="O25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supplier management workflow; invalid or conflicting actions are blocked with clear messages; saved changes appear in related screens; sensitive changes are auditable.</t>
        </is>
      </c>
      <c r="P258" s="12" t="inlineStr">
        <is>
          <t>Duplicate submission is idempotent; stale data returns a refresh/conflict message; invalid status transitions are blocked; partial failure rolls back without orphan records.</t>
        </is>
      </c>
      <c r="Q258" s="12" t="inlineStr">
        <is>
          <t>Tenant/property scope; required fields; optimistic locking; timezone-safe dates; reason mandatory for overrides; currency precision; tax/rate totals; approval limit; no unbalanced or duplicate posting</t>
        </is>
      </c>
      <c r="R258" s="12" t="inlineStr">
        <is>
          <t>Inventory, Finance, Approvals</t>
        </is>
      </c>
      <c r="S258" s="12" t="inlineStr">
        <is>
          <t>GET, POST, PUT/PATCH, DELETE /api/v1/supplier-management; lookup, validation and audit endpoints; idempotency for financial/booking writes; entities: suppliers, requisitions, purchase_orders, goods_receipts, supplier_returns</t>
        </is>
      </c>
      <c r="T258" s="12" t="inlineStr">
        <is>
          <t>Should Have</t>
        </is>
      </c>
      <c r="U258" s="12" t="inlineStr">
        <is>
          <t>Release 1.1</t>
        </is>
      </c>
      <c r="V258" s="34" t="n">
        <v>5</v>
      </c>
      <c r="W258" s="12" t="inlineStr">
        <is>
          <t>S14-S15</t>
        </is>
      </c>
      <c r="X258" s="12" t="inlineStr">
        <is>
          <t>Backlog</t>
        </is>
      </c>
      <c r="Y258" s="13">
        <f>IF(X258="Done",1,IF(X258="QA",0.9,IF(X258="Code Review",0.75,IF(X258="In Development",0.5,IF(X258="Ready",0.1,0)))))</f>
        <v/>
      </c>
      <c r="Z258" s="12" t="n"/>
      <c r="AA258" s="12" t="inlineStr">
        <is>
          <t>TC-105-B</t>
        </is>
      </c>
      <c r="AB258" s="12" t="inlineStr">
        <is>
          <t>Approved screen design; story reviewed with Purchase Manager; dependencies, API contract, role permissions and test data identified.</t>
        </is>
      </c>
      <c r="AC258" s="12" t="inlineStr">
        <is>
          <t>Code reviewed; unit, API, UI, RBAC and integration tests pass; accessibility and responsive states verified; audit evidence captured; product owner accepts in staging.</t>
        </is>
      </c>
      <c r="AD258" s="12" t="n"/>
    </row>
    <row r="259" ht="78" customHeight="1" s="43">
      <c r="A259" s="11" t="n">
        <v>2</v>
      </c>
      <c r="B259" s="11" t="n">
        <v>255</v>
      </c>
      <c r="C259" s="12" t="inlineStr">
        <is>
          <t>US-105-03</t>
        </is>
      </c>
      <c r="D259" s="12" t="inlineStr">
        <is>
          <t>Control permissions, overrides and audit for Supplier Management</t>
        </is>
      </c>
      <c r="E259" s="12" t="inlineStr">
        <is>
          <t>EPIC-17</t>
        </is>
      </c>
      <c r="F259" s="12" t="inlineStr">
        <is>
          <t>Purchasing</t>
        </is>
      </c>
      <c r="G259" s="12" t="inlineStr">
        <is>
          <t>Suppliers</t>
        </is>
      </c>
      <c r="H259" s="11" t="inlineStr">
        <is>
          <t>SCR-105</t>
        </is>
      </c>
      <c r="I259" s="12" t="inlineStr">
        <is>
          <t>Supplier Management</t>
        </is>
      </c>
      <c r="J259" s="12" t="inlineStr">
        <is>
          <t>Security / Exceptions</t>
        </is>
      </c>
      <c r="K259" s="12" t="inlineStr">
        <is>
          <t>Purchase Manager</t>
        </is>
      </c>
      <c r="L259" s="12" t="inlineStr">
        <is>
          <t>As a department supervisor or auditor, I want sensitive actions in Supplier Management to follow permissions, approval limits and audit rules, so that resort operations remain secure, compliant and traceable.</t>
        </is>
      </c>
      <c r="M259" s="12" t="inlineStr">
        <is>
          <t>Reduces fraud, privacy leakage, unauthorized overrides and unresolved operational disputes.</t>
        </is>
      </c>
      <c r="N259" s="12" t="inlineStr">
        <is>
          <t>Roles, permissions, approval hierarchy and audit service are configured; allowed and denied test users exist.</t>
        </is>
      </c>
      <c r="O25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59" s="12" t="inlineStr">
        <is>
          <t>Tampered IDs, expired sessions, approval-limit violations and cross-tenant requests are rejected; secrets and sensitive guest/payment fields are never written to logs.</t>
        </is>
      </c>
      <c r="Q259" s="12" t="inlineStr">
        <is>
          <t>Tenant/property scope; required fields; optimistic locking; timezone-safe dates; reason mandatory for overrides; currency precision; tax/rate totals; approval limit; no unbalanced or duplicate posting</t>
        </is>
      </c>
      <c r="R259" s="12" t="inlineStr">
        <is>
          <t>Inventory, Finance, Approvals</t>
        </is>
      </c>
      <c r="S259" s="12" t="inlineStr">
        <is>
          <t>GET, POST, PUT/PATCH, DELETE /api/v1/supplier-management; lookup, validation and audit endpoints; idempotency for financial/booking writes; entities: suppliers, requisitions, purchase_orders, goods_receipts, supplier_returns</t>
        </is>
      </c>
      <c r="T259" s="12" t="inlineStr">
        <is>
          <t>Should Have</t>
        </is>
      </c>
      <c r="U259" s="12" t="inlineStr">
        <is>
          <t>Release 1.1</t>
        </is>
      </c>
      <c r="V259" s="34" t="n">
        <v>3</v>
      </c>
      <c r="W259" s="12" t="inlineStr">
        <is>
          <t>S14-S15</t>
        </is>
      </c>
      <c r="X259" s="12" t="inlineStr">
        <is>
          <t>Backlog</t>
        </is>
      </c>
      <c r="Y259" s="13">
        <f>IF(X259="Done",1,IF(X259="QA",0.9,IF(X259="Code Review",0.75,IF(X259="In Development",0.5,IF(X259="Ready",0.1,0)))))</f>
        <v/>
      </c>
      <c r="Z259" s="12" t="n"/>
      <c r="AA259" s="12" t="inlineStr">
        <is>
          <t>TC-105-C</t>
        </is>
      </c>
      <c r="AB259" s="12" t="inlineStr">
        <is>
          <t>Approved screen design; story reviewed with Purchase Manager; dependencies, API contract, role permissions and test data identified.</t>
        </is>
      </c>
      <c r="AC259" s="12" t="inlineStr">
        <is>
          <t>Code reviewed; unit, API, UI, RBAC and integration tests pass; accessibility and responsive states verified; audit evidence captured; product owner accepts in staging.</t>
        </is>
      </c>
      <c r="AD259" s="12" t="n"/>
    </row>
    <row r="260" ht="78" customHeight="1" s="43">
      <c r="A260" s="11" t="n">
        <v>2</v>
      </c>
      <c r="B260" s="11" t="n">
        <v>256</v>
      </c>
      <c r="C260" s="12" t="inlineStr">
        <is>
          <t>US-106-01</t>
        </is>
      </c>
      <c r="D260" s="12" t="inlineStr">
        <is>
          <t>View and find information in Purchase Requisition</t>
        </is>
      </c>
      <c r="E260" s="12" t="inlineStr">
        <is>
          <t>EPIC-17</t>
        </is>
      </c>
      <c r="F260" s="12" t="inlineStr">
        <is>
          <t>Purchasing</t>
        </is>
      </c>
      <c r="G260" s="12" t="inlineStr">
        <is>
          <t>Requisitions</t>
        </is>
      </c>
      <c r="H260" s="11" t="inlineStr">
        <is>
          <t>SCR-106</t>
        </is>
      </c>
      <c r="I260" s="12" t="inlineStr">
        <is>
          <t>Purchase Requisition</t>
        </is>
      </c>
      <c r="J260" s="12" t="inlineStr">
        <is>
          <t>View / Search</t>
        </is>
      </c>
      <c r="K260" s="12" t="inlineStr">
        <is>
          <t>Purchase Manager</t>
        </is>
      </c>
      <c r="L260" s="12" t="inlineStr">
        <is>
          <t>As a Purchase Manager, I want to open Purchase Requisition and find relevant records using search, filters and sorting, so that I can make accurate operational decisions.</t>
        </is>
      </c>
      <c r="M260" s="12" t="inlineStr">
        <is>
          <t>Provides timely visibility for requisitions and reduces manual lookup effort.</t>
        </is>
      </c>
      <c r="N260" s="12" t="inlineStr">
        <is>
          <t>Authenticated user; active property; view permission for Purchasing; Inventory, Finance, Approvals data available.</t>
        </is>
      </c>
      <c r="O260" s="12" t="inlineStr">
        <is>
          <t>Given I am authenticated as Purchase Manager with access to the selected property, when I open Purchase Requisition,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60" s="12" t="inlineStr">
        <is>
          <t>Cross-property data never appears; unauthorized fields are masked; invalid filters do not break the screen; unavailable services return a controlled message.</t>
        </is>
      </c>
      <c r="Q260" s="12" t="inlineStr">
        <is>
          <t>Tenant/property scope; required fields; optimistic locking; timezone-safe dates; reason mandatory for overrides; currency precision; tax/rate totals; approval limit; no unbalanced or duplicate posting</t>
        </is>
      </c>
      <c r="R260" s="12" t="inlineStr">
        <is>
          <t>Inventory, Finance, Approvals</t>
        </is>
      </c>
      <c r="S260" s="12" t="inlineStr">
        <is>
          <t>GET, POST, PUT/PATCH, DELETE /api/v1/purchase-requisition; lookup, validation and audit endpoints; idempotency for financial/booking writes; entities: suppliers, requisitions, purchase_orders, goods_receipts, supplier_returns</t>
        </is>
      </c>
      <c r="T260" s="12" t="inlineStr">
        <is>
          <t>Should Have</t>
        </is>
      </c>
      <c r="U260" s="12" t="inlineStr">
        <is>
          <t>Release 1.1</t>
        </is>
      </c>
      <c r="V260" s="34" t="n">
        <v>3</v>
      </c>
      <c r="W260" s="12" t="inlineStr">
        <is>
          <t>S14-S15</t>
        </is>
      </c>
      <c r="X260" s="12" t="inlineStr">
        <is>
          <t>Backlog</t>
        </is>
      </c>
      <c r="Y260" s="13">
        <f>IF(X260="Done",1,IF(X260="QA",0.9,IF(X260="Code Review",0.75,IF(X260="In Development",0.5,IF(X260="Ready",0.1,0)))))</f>
        <v/>
      </c>
      <c r="Z260" s="12" t="n"/>
      <c r="AA260" s="12" t="inlineStr">
        <is>
          <t>TC-106-A</t>
        </is>
      </c>
      <c r="AB260" s="12" t="inlineStr">
        <is>
          <t>Approved screen design; story reviewed with Purchase Manager; dependencies, API contract, role permissions and test data identified.</t>
        </is>
      </c>
      <c r="AC260" s="12" t="inlineStr">
        <is>
          <t>Code reviewed; unit, API, UI, RBAC and integration tests pass; accessibility and responsive states verified; audit evidence captured; product owner accepts in staging.</t>
        </is>
      </c>
      <c r="AD260" s="12" t="n"/>
    </row>
    <row r="261" ht="78" customHeight="1" s="43">
      <c r="A261" s="11" t="n">
        <v>2</v>
      </c>
      <c r="B261" s="11" t="n">
        <v>257</v>
      </c>
      <c r="C261" s="12" t="inlineStr">
        <is>
          <t>US-106-02</t>
        </is>
      </c>
      <c r="D261" s="12" t="inlineStr">
        <is>
          <t>Complete the primary Purchase Requisition workflow</t>
        </is>
      </c>
      <c r="E261" s="12" t="inlineStr">
        <is>
          <t>EPIC-17</t>
        </is>
      </c>
      <c r="F261" s="12" t="inlineStr">
        <is>
          <t>Purchasing</t>
        </is>
      </c>
      <c r="G261" s="12" t="inlineStr">
        <is>
          <t>Requisitions</t>
        </is>
      </c>
      <c r="H261" s="11" t="inlineStr">
        <is>
          <t>SCR-106</t>
        </is>
      </c>
      <c r="I261" s="12" t="inlineStr">
        <is>
          <t>Purchase Requisition</t>
        </is>
      </c>
      <c r="J261" s="12" t="inlineStr">
        <is>
          <t>Primary Workflow</t>
        </is>
      </c>
      <c r="K261" s="12" t="inlineStr">
        <is>
          <t>Purchase Manager</t>
        </is>
      </c>
      <c r="L261" s="12" t="inlineStr">
        <is>
          <t>As a Purchase Manager, I want to list, search, filter, view, create, edit, cancel/delete under policy, export in Purchase Requisition, so that the requisitions process is completed accurately without duplicate or inconsistent records.</t>
        </is>
      </c>
      <c r="M261" s="12" t="inlineStr">
        <is>
          <t>Enable purchasing users to manage requisitions through the Purchase Requisition workflow with real-time status, validations and traceability.</t>
        </is>
      </c>
      <c r="N261" s="12" t="inlineStr">
        <is>
          <t>View access confirmed; required masters and linked records exist; Inventory, Finance, Approvals services are available; approval limit is valid.</t>
        </is>
      </c>
      <c r="O26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purchase requisition workflow; invalid or conflicting actions are blocked with clear messages; saved changes appear in related screens; sensitive changes are auditable.</t>
        </is>
      </c>
      <c r="P261" s="12" t="inlineStr">
        <is>
          <t>Duplicate submission is idempotent; stale data returns a refresh/conflict message; invalid status transitions are blocked; partial failure rolls back without orphan records.</t>
        </is>
      </c>
      <c r="Q261" s="12" t="inlineStr">
        <is>
          <t>Tenant/property scope; required fields; optimistic locking; timezone-safe dates; reason mandatory for overrides; currency precision; tax/rate totals; approval limit; no unbalanced or duplicate posting</t>
        </is>
      </c>
      <c r="R261" s="12" t="inlineStr">
        <is>
          <t>Inventory, Finance, Approvals</t>
        </is>
      </c>
      <c r="S261" s="12" t="inlineStr">
        <is>
          <t>GET, POST, PUT/PATCH, DELETE /api/v1/purchase-requisition; lookup, validation and audit endpoints; idempotency for financial/booking writes; entities: suppliers, requisitions, purchase_orders, goods_receipts, supplier_returns</t>
        </is>
      </c>
      <c r="T261" s="12" t="inlineStr">
        <is>
          <t>Should Have</t>
        </is>
      </c>
      <c r="U261" s="12" t="inlineStr">
        <is>
          <t>Release 1.1</t>
        </is>
      </c>
      <c r="V261" s="34" t="n">
        <v>5</v>
      </c>
      <c r="W261" s="12" t="inlineStr">
        <is>
          <t>S14-S15</t>
        </is>
      </c>
      <c r="X261" s="12" t="inlineStr">
        <is>
          <t>Backlog</t>
        </is>
      </c>
      <c r="Y261" s="13">
        <f>IF(X261="Done",1,IF(X261="QA",0.9,IF(X261="Code Review",0.75,IF(X261="In Development",0.5,IF(X261="Ready",0.1,0)))))</f>
        <v/>
      </c>
      <c r="Z261" s="12" t="n"/>
      <c r="AA261" s="12" t="inlineStr">
        <is>
          <t>TC-106-B</t>
        </is>
      </c>
      <c r="AB261" s="12" t="inlineStr">
        <is>
          <t>Approved screen design; story reviewed with Purchase Manager; dependencies, API contract, role permissions and test data identified.</t>
        </is>
      </c>
      <c r="AC261" s="12" t="inlineStr">
        <is>
          <t>Code reviewed; unit, API, UI, RBAC and integration tests pass; accessibility and responsive states verified; audit evidence captured; product owner accepts in staging.</t>
        </is>
      </c>
      <c r="AD261" s="12" t="n"/>
    </row>
    <row r="262" ht="78" customHeight="1" s="43">
      <c r="A262" s="11" t="n">
        <v>2</v>
      </c>
      <c r="B262" s="11" t="n">
        <v>258</v>
      </c>
      <c r="C262" s="12" t="inlineStr">
        <is>
          <t>US-106-03</t>
        </is>
      </c>
      <c r="D262" s="12" t="inlineStr">
        <is>
          <t>Control permissions, overrides and audit for Purchase Requisition</t>
        </is>
      </c>
      <c r="E262" s="12" t="inlineStr">
        <is>
          <t>EPIC-17</t>
        </is>
      </c>
      <c r="F262" s="12" t="inlineStr">
        <is>
          <t>Purchasing</t>
        </is>
      </c>
      <c r="G262" s="12" t="inlineStr">
        <is>
          <t>Requisitions</t>
        </is>
      </c>
      <c r="H262" s="11" t="inlineStr">
        <is>
          <t>SCR-106</t>
        </is>
      </c>
      <c r="I262" s="12" t="inlineStr">
        <is>
          <t>Purchase Requisition</t>
        </is>
      </c>
      <c r="J262" s="12" t="inlineStr">
        <is>
          <t>Security / Exceptions</t>
        </is>
      </c>
      <c r="K262" s="12" t="inlineStr">
        <is>
          <t>Purchase Manager</t>
        </is>
      </c>
      <c r="L262" s="12" t="inlineStr">
        <is>
          <t>As a department supervisor or auditor, I want sensitive actions in Purchase Requisition to follow permissions, approval limits and audit rules, so that resort operations remain secure, compliant and traceable.</t>
        </is>
      </c>
      <c r="M262" s="12" t="inlineStr">
        <is>
          <t>Reduces fraud, privacy leakage, unauthorized overrides and unresolved operational disputes.</t>
        </is>
      </c>
      <c r="N262" s="12" t="inlineStr">
        <is>
          <t>Roles, permissions, approval hierarchy and audit service are configured; allowed and denied test users exist.</t>
        </is>
      </c>
      <c r="O26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62" s="12" t="inlineStr">
        <is>
          <t>Tampered IDs, expired sessions, approval-limit violations and cross-tenant requests are rejected; secrets and sensitive guest/payment fields are never written to logs.</t>
        </is>
      </c>
      <c r="Q262" s="12" t="inlineStr">
        <is>
          <t>Tenant/property scope; required fields; optimistic locking; timezone-safe dates; reason mandatory for overrides; currency precision; tax/rate totals; approval limit; no unbalanced or duplicate posting</t>
        </is>
      </c>
      <c r="R262" s="12" t="inlineStr">
        <is>
          <t>Inventory, Finance, Approvals</t>
        </is>
      </c>
      <c r="S262" s="12" t="inlineStr">
        <is>
          <t>GET, POST, PUT/PATCH, DELETE /api/v1/purchase-requisition; lookup, validation and audit endpoints; idempotency for financial/booking writes; entities: suppliers, requisitions, purchase_orders, goods_receipts, supplier_returns</t>
        </is>
      </c>
      <c r="T262" s="12" t="inlineStr">
        <is>
          <t>Should Have</t>
        </is>
      </c>
      <c r="U262" s="12" t="inlineStr">
        <is>
          <t>Release 1.1</t>
        </is>
      </c>
      <c r="V262" s="34" t="n">
        <v>3</v>
      </c>
      <c r="W262" s="12" t="inlineStr">
        <is>
          <t>S14-S15</t>
        </is>
      </c>
      <c r="X262" s="12" t="inlineStr">
        <is>
          <t>Backlog</t>
        </is>
      </c>
      <c r="Y262" s="13">
        <f>IF(X262="Done",1,IF(X262="QA",0.9,IF(X262="Code Review",0.75,IF(X262="In Development",0.5,IF(X262="Ready",0.1,0)))))</f>
        <v/>
      </c>
      <c r="Z262" s="12" t="n"/>
      <c r="AA262" s="12" t="inlineStr">
        <is>
          <t>TC-106-C</t>
        </is>
      </c>
      <c r="AB262" s="12" t="inlineStr">
        <is>
          <t>Approved screen design; story reviewed with Purchase Manager; dependencies, API contract, role permissions and test data identified.</t>
        </is>
      </c>
      <c r="AC262" s="12" t="inlineStr">
        <is>
          <t>Code reviewed; unit, API, UI, RBAC and integration tests pass; accessibility and responsive states verified; audit evidence captured; product owner accepts in staging.</t>
        </is>
      </c>
      <c r="AD262" s="12" t="n"/>
    </row>
    <row r="263" ht="78" customHeight="1" s="43">
      <c r="A263" s="11" t="n">
        <v>2</v>
      </c>
      <c r="B263" s="11" t="n">
        <v>259</v>
      </c>
      <c r="C263" s="12" t="inlineStr">
        <is>
          <t>US-107-01</t>
        </is>
      </c>
      <c r="D263" s="12" t="inlineStr">
        <is>
          <t>View and find information in Purchase Order Create and Edit</t>
        </is>
      </c>
      <c r="E263" s="12" t="inlineStr">
        <is>
          <t>EPIC-17</t>
        </is>
      </c>
      <c r="F263" s="12" t="inlineStr">
        <is>
          <t>Purchasing</t>
        </is>
      </c>
      <c r="G263" s="12" t="inlineStr">
        <is>
          <t>Purchase Orders</t>
        </is>
      </c>
      <c r="H263" s="11" t="inlineStr">
        <is>
          <t>SCR-107</t>
        </is>
      </c>
      <c r="I263" s="12" t="inlineStr">
        <is>
          <t>Purchase Order Create and Edit</t>
        </is>
      </c>
      <c r="J263" s="12" t="inlineStr">
        <is>
          <t>View / Search</t>
        </is>
      </c>
      <c r="K263" s="12" t="inlineStr">
        <is>
          <t>Purchase Manager</t>
        </is>
      </c>
      <c r="L263" s="12" t="inlineStr">
        <is>
          <t>As a Purchase Manager, I want to open Purchase Order Create and Edit and find relevant records using search, filters and sorting, so that I can make accurate operational decisions.</t>
        </is>
      </c>
      <c r="M263" s="12" t="inlineStr">
        <is>
          <t>Provides timely visibility for purchase orders and reduces manual lookup effort.</t>
        </is>
      </c>
      <c r="N263" s="12" t="inlineStr">
        <is>
          <t>Authenticated user; active property; view permission for Purchasing; Inventory, Finance, Approvals data available.</t>
        </is>
      </c>
      <c r="O263" s="12" t="inlineStr">
        <is>
          <t>Given I am authenticated as Purchase Manager with access to the selected property, when I open Purchase Order Create and Edit,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63" s="12" t="inlineStr">
        <is>
          <t>Cross-property data never appears; unauthorized fields are masked; invalid filters do not break the screen; unavailable services return a controlled message.</t>
        </is>
      </c>
      <c r="Q263" s="12" t="inlineStr">
        <is>
          <t>Tenant/property scope; required fields; optimistic locking; timezone-safe dates; reason mandatory for overrides; currency precision; tax/rate totals; approval limit; no unbalanced or duplicate posting</t>
        </is>
      </c>
      <c r="R263" s="12" t="inlineStr">
        <is>
          <t>Inventory, Finance, Approvals</t>
        </is>
      </c>
      <c r="S263" s="12" t="inlineStr">
        <is>
          <t>GET, POST, PUT/PATCH, DELETE /api/v1/purchase-order-create-and-edit; lookup, validation and audit endpoints; idempotency for financial/booking writes; entities: suppliers, requisitions, purchase_orders, goods_receipts, supplier_returns</t>
        </is>
      </c>
      <c r="T263" s="12" t="inlineStr">
        <is>
          <t>Should Have</t>
        </is>
      </c>
      <c r="U263" s="12" t="inlineStr">
        <is>
          <t>Release 1.1</t>
        </is>
      </c>
      <c r="V263" s="34" t="n">
        <v>3</v>
      </c>
      <c r="W263" s="12" t="inlineStr">
        <is>
          <t>S14-S15</t>
        </is>
      </c>
      <c r="X263" s="12" t="inlineStr">
        <is>
          <t>Backlog</t>
        </is>
      </c>
      <c r="Y263" s="13">
        <f>IF(X263="Done",1,IF(X263="QA",0.9,IF(X263="Code Review",0.75,IF(X263="In Development",0.5,IF(X263="Ready",0.1,0)))))</f>
        <v/>
      </c>
      <c r="Z263" s="12" t="n"/>
      <c r="AA263" s="12" t="inlineStr">
        <is>
          <t>TC-107-A</t>
        </is>
      </c>
      <c r="AB263" s="12" t="inlineStr">
        <is>
          <t>Approved screen design; story reviewed with Purchase Manager; dependencies, API contract, role permissions and test data identified.</t>
        </is>
      </c>
      <c r="AC263" s="12" t="inlineStr">
        <is>
          <t>Code reviewed; unit, API, UI, RBAC and integration tests pass; accessibility and responsive states verified; audit evidence captured; product owner accepts in staging.</t>
        </is>
      </c>
      <c r="AD263" s="12" t="n"/>
    </row>
    <row r="264" ht="78" customHeight="1" s="43">
      <c r="A264" s="11" t="n">
        <v>2</v>
      </c>
      <c r="B264" s="11" t="n">
        <v>260</v>
      </c>
      <c r="C264" s="12" t="inlineStr">
        <is>
          <t>US-107-02</t>
        </is>
      </c>
      <c r="D264" s="12" t="inlineStr">
        <is>
          <t>Complete the primary Purchase Order Create and Edit workflow</t>
        </is>
      </c>
      <c r="E264" s="12" t="inlineStr">
        <is>
          <t>EPIC-17</t>
        </is>
      </c>
      <c r="F264" s="12" t="inlineStr">
        <is>
          <t>Purchasing</t>
        </is>
      </c>
      <c r="G264" s="12" t="inlineStr">
        <is>
          <t>Purchase Orders</t>
        </is>
      </c>
      <c r="H264" s="11" t="inlineStr">
        <is>
          <t>SCR-107</t>
        </is>
      </c>
      <c r="I264" s="12" t="inlineStr">
        <is>
          <t>Purchase Order Create and Edit</t>
        </is>
      </c>
      <c r="J264" s="12" t="inlineStr">
        <is>
          <t>Primary Workflow</t>
        </is>
      </c>
      <c r="K264" s="12" t="inlineStr">
        <is>
          <t>Purchase Manager</t>
        </is>
      </c>
      <c r="L264" s="12" t="inlineStr">
        <is>
          <t>As a Purchase Manager, I want to list, view, create, edit, activate/deactivate, delete where safe in Purchase Order Create and Edit, so that the purchase orders process is completed accurately without duplicate or inconsistent records.</t>
        </is>
      </c>
      <c r="M264" s="12" t="inlineStr">
        <is>
          <t>Enable purchasing users to manage purchase orders through the Purchase Order Create and Edit workflow with real-time status, validations and traceability.</t>
        </is>
      </c>
      <c r="N264" s="12" t="inlineStr">
        <is>
          <t>View access confirmed; required masters and linked records exist; Inventory, Finance, Approvals services are available; approval limit is valid.</t>
        </is>
      </c>
      <c r="O26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purchase order create and edit workflow; invalid or conflicting actions are blocked with clear messages; saved changes appear in related screens; sensitive changes are auditable.</t>
        </is>
      </c>
      <c r="P264" s="12" t="inlineStr">
        <is>
          <t>Duplicate submission is idempotent; stale data returns a refresh/conflict message; invalid status transitions are blocked; partial failure rolls back without orphan records.</t>
        </is>
      </c>
      <c r="Q264" s="12" t="inlineStr">
        <is>
          <t>Tenant/property scope; required fields; optimistic locking; timezone-safe dates; reason mandatory for overrides; currency precision; tax/rate totals; approval limit; no unbalanced or duplicate posting</t>
        </is>
      </c>
      <c r="R264" s="12" t="inlineStr">
        <is>
          <t>Inventory, Finance, Approvals</t>
        </is>
      </c>
      <c r="S264" s="12" t="inlineStr">
        <is>
          <t>GET, POST, PUT/PATCH, DELETE /api/v1/purchase-order-create-and-edit; lookup, validation and audit endpoints; idempotency for financial/booking writes; entities: suppliers, requisitions, purchase_orders, goods_receipts, supplier_returns</t>
        </is>
      </c>
      <c r="T264" s="12" t="inlineStr">
        <is>
          <t>Should Have</t>
        </is>
      </c>
      <c r="U264" s="12" t="inlineStr">
        <is>
          <t>Release 1.1</t>
        </is>
      </c>
      <c r="V264" s="34" t="n">
        <v>5</v>
      </c>
      <c r="W264" s="12" t="inlineStr">
        <is>
          <t>S14-S15</t>
        </is>
      </c>
      <c r="X264" s="12" t="inlineStr">
        <is>
          <t>Backlog</t>
        </is>
      </c>
      <c r="Y264" s="13">
        <f>IF(X264="Done",1,IF(X264="QA",0.9,IF(X264="Code Review",0.75,IF(X264="In Development",0.5,IF(X264="Ready",0.1,0)))))</f>
        <v/>
      </c>
      <c r="Z264" s="12" t="n"/>
      <c r="AA264" s="12" t="inlineStr">
        <is>
          <t>TC-107-B</t>
        </is>
      </c>
      <c r="AB264" s="12" t="inlineStr">
        <is>
          <t>Approved screen design; story reviewed with Purchase Manager; dependencies, API contract, role permissions and test data identified.</t>
        </is>
      </c>
      <c r="AC264" s="12" t="inlineStr">
        <is>
          <t>Code reviewed; unit, API, UI, RBAC and integration tests pass; accessibility and responsive states verified; audit evidence captured; product owner accepts in staging.</t>
        </is>
      </c>
      <c r="AD264" s="12" t="n"/>
    </row>
    <row r="265" ht="78" customHeight="1" s="43">
      <c r="A265" s="11" t="n">
        <v>2</v>
      </c>
      <c r="B265" s="11" t="n">
        <v>261</v>
      </c>
      <c r="C265" s="12" t="inlineStr">
        <is>
          <t>US-107-03</t>
        </is>
      </c>
      <c r="D265" s="12" t="inlineStr">
        <is>
          <t>Control permissions, overrides and audit for Purchase Order Create and Edit</t>
        </is>
      </c>
      <c r="E265" s="12" t="inlineStr">
        <is>
          <t>EPIC-17</t>
        </is>
      </c>
      <c r="F265" s="12" t="inlineStr">
        <is>
          <t>Purchasing</t>
        </is>
      </c>
      <c r="G265" s="12" t="inlineStr">
        <is>
          <t>Purchase Orders</t>
        </is>
      </c>
      <c r="H265" s="11" t="inlineStr">
        <is>
          <t>SCR-107</t>
        </is>
      </c>
      <c r="I265" s="12" t="inlineStr">
        <is>
          <t>Purchase Order Create and Edit</t>
        </is>
      </c>
      <c r="J265" s="12" t="inlineStr">
        <is>
          <t>Security / Exceptions</t>
        </is>
      </c>
      <c r="K265" s="12" t="inlineStr">
        <is>
          <t>Purchase Manager</t>
        </is>
      </c>
      <c r="L265" s="12" t="inlineStr">
        <is>
          <t>As a department supervisor or auditor, I want sensitive actions in Purchase Order Create and Edit to follow permissions, approval limits and audit rules, so that resort operations remain secure, compliant and traceable.</t>
        </is>
      </c>
      <c r="M265" s="12" t="inlineStr">
        <is>
          <t>Reduces fraud, privacy leakage, unauthorized overrides and unresolved operational disputes.</t>
        </is>
      </c>
      <c r="N265" s="12" t="inlineStr">
        <is>
          <t>Roles, permissions, approval hierarchy and audit service are configured; allowed and denied test users exist.</t>
        </is>
      </c>
      <c r="O26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65" s="12" t="inlineStr">
        <is>
          <t>Tampered IDs, expired sessions, approval-limit violations and cross-tenant requests are rejected; secrets and sensitive guest/payment fields are never written to logs.</t>
        </is>
      </c>
      <c r="Q265" s="12" t="inlineStr">
        <is>
          <t>Tenant/property scope; required fields; optimistic locking; timezone-safe dates; reason mandatory for overrides; currency precision; tax/rate totals; approval limit; no unbalanced or duplicate posting</t>
        </is>
      </c>
      <c r="R265" s="12" t="inlineStr">
        <is>
          <t>Inventory, Finance, Approvals</t>
        </is>
      </c>
      <c r="S265" s="12" t="inlineStr">
        <is>
          <t>GET, POST, PUT/PATCH, DELETE /api/v1/purchase-order-create-and-edit; lookup, validation and audit endpoints; idempotency for financial/booking writes; entities: suppliers, requisitions, purchase_orders, goods_receipts, supplier_returns</t>
        </is>
      </c>
      <c r="T265" s="12" t="inlineStr">
        <is>
          <t>Should Have</t>
        </is>
      </c>
      <c r="U265" s="12" t="inlineStr">
        <is>
          <t>Release 1.1</t>
        </is>
      </c>
      <c r="V265" s="34" t="n">
        <v>3</v>
      </c>
      <c r="W265" s="12" t="inlineStr">
        <is>
          <t>S14-S15</t>
        </is>
      </c>
      <c r="X265" s="12" t="inlineStr">
        <is>
          <t>Backlog</t>
        </is>
      </c>
      <c r="Y265" s="13">
        <f>IF(X265="Done",1,IF(X265="QA",0.9,IF(X265="Code Review",0.75,IF(X265="In Development",0.5,IF(X265="Ready",0.1,0)))))</f>
        <v/>
      </c>
      <c r="Z265" s="12" t="n"/>
      <c r="AA265" s="12" t="inlineStr">
        <is>
          <t>TC-107-C</t>
        </is>
      </c>
      <c r="AB265" s="12" t="inlineStr">
        <is>
          <t>Approved screen design; story reviewed with Purchase Manager; dependencies, API contract, role permissions and test data identified.</t>
        </is>
      </c>
      <c r="AC265" s="12" t="inlineStr">
        <is>
          <t>Code reviewed; unit, API, UI, RBAC and integration tests pass; accessibility and responsive states verified; audit evidence captured; product owner accepts in staging.</t>
        </is>
      </c>
      <c r="AD265" s="12" t="n"/>
    </row>
    <row r="266" ht="78" customHeight="1" s="43">
      <c r="A266" s="11" t="n">
        <v>2</v>
      </c>
      <c r="B266" s="11" t="n">
        <v>262</v>
      </c>
      <c r="C266" s="12" t="inlineStr">
        <is>
          <t>US-108-01</t>
        </is>
      </c>
      <c r="D266" s="12" t="inlineStr">
        <is>
          <t>View and find information in Goods Receipt Note</t>
        </is>
      </c>
      <c r="E266" s="12" t="inlineStr">
        <is>
          <t>EPIC-17</t>
        </is>
      </c>
      <c r="F266" s="12" t="inlineStr">
        <is>
          <t>Purchasing</t>
        </is>
      </c>
      <c r="G266" s="12" t="inlineStr">
        <is>
          <t>Receiving</t>
        </is>
      </c>
      <c r="H266" s="11" t="inlineStr">
        <is>
          <t>SCR-108</t>
        </is>
      </c>
      <c r="I266" s="12" t="inlineStr">
        <is>
          <t>Goods Receipt Note</t>
        </is>
      </c>
      <c r="J266" s="12" t="inlineStr">
        <is>
          <t>View / Search</t>
        </is>
      </c>
      <c r="K266" s="12" t="inlineStr">
        <is>
          <t>Purchase Manager</t>
        </is>
      </c>
      <c r="L266" s="12" t="inlineStr">
        <is>
          <t>As a Purchase Manager, I want to open Goods Receipt Note and find relevant records using search, filters and sorting, so that I can make accurate operational decisions.</t>
        </is>
      </c>
      <c r="M266" s="12" t="inlineStr">
        <is>
          <t>Provides timely visibility for receiving and reduces manual lookup effort.</t>
        </is>
      </c>
      <c r="N266" s="12" t="inlineStr">
        <is>
          <t>Authenticated user; active property; view permission for Purchasing; Inventory, Finance, Approvals data available.</t>
        </is>
      </c>
      <c r="O266" s="12" t="inlineStr">
        <is>
          <t>Given I am authenticated as Purchase Manager with access to the selected property, when I open Goods Receipt Note,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66" s="12" t="inlineStr">
        <is>
          <t>Cross-property data never appears; unauthorized fields are masked; invalid filters do not break the screen; unavailable services return a controlled message.</t>
        </is>
      </c>
      <c r="Q266" s="12" t="inlineStr">
        <is>
          <t>Tenant/property scope; required fields; optimistic locking; timezone-safe dates; reason mandatory for overrides; currency precision; tax/rate totals; approval limit; no unbalanced or duplicate posting</t>
        </is>
      </c>
      <c r="R266" s="12" t="inlineStr">
        <is>
          <t>Inventory, Finance, Approvals</t>
        </is>
      </c>
      <c r="S266" s="12" t="inlineStr">
        <is>
          <t>GET, POST, PUT/PATCH, DELETE /api/v1/goods-receipt-note; lookup, validation and audit endpoints; idempotency for financial/booking writes; entities: suppliers, requisitions, purchase_orders, goods_receipts, supplier_returns</t>
        </is>
      </c>
      <c r="T266" s="12" t="inlineStr">
        <is>
          <t>Should Have</t>
        </is>
      </c>
      <c r="U266" s="12" t="inlineStr">
        <is>
          <t>Release 1.1</t>
        </is>
      </c>
      <c r="V266" s="34" t="n">
        <v>3</v>
      </c>
      <c r="W266" s="12" t="inlineStr">
        <is>
          <t>S14-S15</t>
        </is>
      </c>
      <c r="X266" s="12" t="inlineStr">
        <is>
          <t>Backlog</t>
        </is>
      </c>
      <c r="Y266" s="13">
        <f>IF(X266="Done",1,IF(X266="QA",0.9,IF(X266="Code Review",0.75,IF(X266="In Development",0.5,IF(X266="Ready",0.1,0)))))</f>
        <v/>
      </c>
      <c r="Z266" s="12" t="n"/>
      <c r="AA266" s="12" t="inlineStr">
        <is>
          <t>TC-108-A</t>
        </is>
      </c>
      <c r="AB266" s="12" t="inlineStr">
        <is>
          <t>Approved screen design; story reviewed with Purchase Manager; dependencies, API contract, role permissions and test data identified.</t>
        </is>
      </c>
      <c r="AC266" s="12" t="inlineStr">
        <is>
          <t>Code reviewed; unit, API, UI, RBAC and integration tests pass; accessibility and responsive states verified; audit evidence captured; product owner accepts in staging.</t>
        </is>
      </c>
      <c r="AD266" s="12" t="n"/>
    </row>
    <row r="267" ht="78" customHeight="1" s="43">
      <c r="A267" s="11" t="n">
        <v>2</v>
      </c>
      <c r="B267" s="11" t="n">
        <v>263</v>
      </c>
      <c r="C267" s="12" t="inlineStr">
        <is>
          <t>US-108-02</t>
        </is>
      </c>
      <c r="D267" s="12" t="inlineStr">
        <is>
          <t>Complete the primary Goods Receipt Note workflow</t>
        </is>
      </c>
      <c r="E267" s="12" t="inlineStr">
        <is>
          <t>EPIC-17</t>
        </is>
      </c>
      <c r="F267" s="12" t="inlineStr">
        <is>
          <t>Purchasing</t>
        </is>
      </c>
      <c r="G267" s="12" t="inlineStr">
        <is>
          <t>Receiving</t>
        </is>
      </c>
      <c r="H267" s="11" t="inlineStr">
        <is>
          <t>SCR-108</t>
        </is>
      </c>
      <c r="I267" s="12" t="inlineStr">
        <is>
          <t>Goods Receipt Note</t>
        </is>
      </c>
      <c r="J267" s="12" t="inlineStr">
        <is>
          <t>Primary Workflow</t>
        </is>
      </c>
      <c r="K267" s="12" t="inlineStr">
        <is>
          <t>Purchase Manager</t>
        </is>
      </c>
      <c r="L267" s="12" t="inlineStr">
        <is>
          <t>As a Purchase Manager, I want to list, search, filter, view, create, edit, cancel/delete under policy, export in Goods Receipt Note, so that the receiving process is completed accurately without duplicate or inconsistent records.</t>
        </is>
      </c>
      <c r="M267" s="12" t="inlineStr">
        <is>
          <t>Enable purchasing users to manage receiving through the Goods Receipt Note workflow with real-time status, validations and traceability.</t>
        </is>
      </c>
      <c r="N267" s="12" t="inlineStr">
        <is>
          <t>View access confirmed; required masters and linked records exist; Inventory, Finance, Approvals services are available; approval limit is valid.</t>
        </is>
      </c>
      <c r="O26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goods receipt note workflow; invalid or conflicting actions are blocked with clear messages; saved changes appear in related screens; sensitive changes are auditable.</t>
        </is>
      </c>
      <c r="P267" s="12" t="inlineStr">
        <is>
          <t>Duplicate submission is idempotent; stale data returns a refresh/conflict message; invalid status transitions are blocked; partial failure rolls back without orphan records.</t>
        </is>
      </c>
      <c r="Q267" s="12" t="inlineStr">
        <is>
          <t>Tenant/property scope; required fields; optimistic locking; timezone-safe dates; reason mandatory for overrides; currency precision; tax/rate totals; approval limit; no unbalanced or duplicate posting</t>
        </is>
      </c>
      <c r="R267" s="12" t="inlineStr">
        <is>
          <t>Inventory, Finance, Approvals</t>
        </is>
      </c>
      <c r="S267" s="12" t="inlineStr">
        <is>
          <t>GET, POST, PUT/PATCH, DELETE /api/v1/goods-receipt-note; lookup, validation and audit endpoints; idempotency for financial/booking writes; entities: suppliers, requisitions, purchase_orders, goods_receipts, supplier_returns</t>
        </is>
      </c>
      <c r="T267" s="12" t="inlineStr">
        <is>
          <t>Should Have</t>
        </is>
      </c>
      <c r="U267" s="12" t="inlineStr">
        <is>
          <t>Release 1.1</t>
        </is>
      </c>
      <c r="V267" s="34" t="n">
        <v>5</v>
      </c>
      <c r="W267" s="12" t="inlineStr">
        <is>
          <t>S14-S15</t>
        </is>
      </c>
      <c r="X267" s="12" t="inlineStr">
        <is>
          <t>Backlog</t>
        </is>
      </c>
      <c r="Y267" s="13">
        <f>IF(X267="Done",1,IF(X267="QA",0.9,IF(X267="Code Review",0.75,IF(X267="In Development",0.5,IF(X267="Ready",0.1,0)))))</f>
        <v/>
      </c>
      <c r="Z267" s="12" t="n"/>
      <c r="AA267" s="12" t="inlineStr">
        <is>
          <t>TC-108-B</t>
        </is>
      </c>
      <c r="AB267" s="12" t="inlineStr">
        <is>
          <t>Approved screen design; story reviewed with Purchase Manager; dependencies, API contract, role permissions and test data identified.</t>
        </is>
      </c>
      <c r="AC267" s="12" t="inlineStr">
        <is>
          <t>Code reviewed; unit, API, UI, RBAC and integration tests pass; accessibility and responsive states verified; audit evidence captured; product owner accepts in staging.</t>
        </is>
      </c>
      <c r="AD267" s="12" t="n"/>
    </row>
    <row r="268" ht="78" customHeight="1" s="43">
      <c r="A268" s="11" t="n">
        <v>2</v>
      </c>
      <c r="B268" s="11" t="n">
        <v>264</v>
      </c>
      <c r="C268" s="12" t="inlineStr">
        <is>
          <t>US-108-03</t>
        </is>
      </c>
      <c r="D268" s="12" t="inlineStr">
        <is>
          <t>Control permissions, overrides and audit for Goods Receipt Note</t>
        </is>
      </c>
      <c r="E268" s="12" t="inlineStr">
        <is>
          <t>EPIC-17</t>
        </is>
      </c>
      <c r="F268" s="12" t="inlineStr">
        <is>
          <t>Purchasing</t>
        </is>
      </c>
      <c r="G268" s="12" t="inlineStr">
        <is>
          <t>Receiving</t>
        </is>
      </c>
      <c r="H268" s="11" t="inlineStr">
        <is>
          <t>SCR-108</t>
        </is>
      </c>
      <c r="I268" s="12" t="inlineStr">
        <is>
          <t>Goods Receipt Note</t>
        </is>
      </c>
      <c r="J268" s="12" t="inlineStr">
        <is>
          <t>Security / Exceptions</t>
        </is>
      </c>
      <c r="K268" s="12" t="inlineStr">
        <is>
          <t>Purchase Manager</t>
        </is>
      </c>
      <c r="L268" s="12" t="inlineStr">
        <is>
          <t>As a department supervisor or auditor, I want sensitive actions in Goods Receipt Note to follow permissions, approval limits and audit rules, so that resort operations remain secure, compliant and traceable.</t>
        </is>
      </c>
      <c r="M268" s="12" t="inlineStr">
        <is>
          <t>Reduces fraud, privacy leakage, unauthorized overrides and unresolved operational disputes.</t>
        </is>
      </c>
      <c r="N268" s="12" t="inlineStr">
        <is>
          <t>Roles, permissions, approval hierarchy and audit service are configured; allowed and denied test users exist.</t>
        </is>
      </c>
      <c r="O26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68" s="12" t="inlineStr">
        <is>
          <t>Tampered IDs, expired sessions, approval-limit violations and cross-tenant requests are rejected; secrets and sensitive guest/payment fields are never written to logs.</t>
        </is>
      </c>
      <c r="Q268" s="12" t="inlineStr">
        <is>
          <t>Tenant/property scope; required fields; optimistic locking; timezone-safe dates; reason mandatory for overrides; currency precision; tax/rate totals; approval limit; no unbalanced or duplicate posting</t>
        </is>
      </c>
      <c r="R268" s="12" t="inlineStr">
        <is>
          <t>Inventory, Finance, Approvals</t>
        </is>
      </c>
      <c r="S268" s="12" t="inlineStr">
        <is>
          <t>GET, POST, PUT/PATCH, DELETE /api/v1/goods-receipt-note; lookup, validation and audit endpoints; idempotency for financial/booking writes; entities: suppliers, requisitions, purchase_orders, goods_receipts, supplier_returns</t>
        </is>
      </c>
      <c r="T268" s="12" t="inlineStr">
        <is>
          <t>Should Have</t>
        </is>
      </c>
      <c r="U268" s="12" t="inlineStr">
        <is>
          <t>Release 1.1</t>
        </is>
      </c>
      <c r="V268" s="34" t="n">
        <v>3</v>
      </c>
      <c r="W268" s="12" t="inlineStr">
        <is>
          <t>S14-S15</t>
        </is>
      </c>
      <c r="X268" s="12" t="inlineStr">
        <is>
          <t>Backlog</t>
        </is>
      </c>
      <c r="Y268" s="13">
        <f>IF(X268="Done",1,IF(X268="QA",0.9,IF(X268="Code Review",0.75,IF(X268="In Development",0.5,IF(X268="Ready",0.1,0)))))</f>
        <v/>
      </c>
      <c r="Z268" s="12" t="n"/>
      <c r="AA268" s="12" t="inlineStr">
        <is>
          <t>TC-108-C</t>
        </is>
      </c>
      <c r="AB268" s="12" t="inlineStr">
        <is>
          <t>Approved screen design; story reviewed with Purchase Manager; dependencies, API contract, role permissions and test data identified.</t>
        </is>
      </c>
      <c r="AC268" s="12" t="inlineStr">
        <is>
          <t>Code reviewed; unit, API, UI, RBAC and integration tests pass; accessibility and responsive states verified; audit evidence captured; product owner accepts in staging.</t>
        </is>
      </c>
      <c r="AD268" s="12" t="n"/>
    </row>
    <row r="269" ht="78" customHeight="1" s="43">
      <c r="A269" s="11" t="n">
        <v>2</v>
      </c>
      <c r="B269" s="11" t="n">
        <v>265</v>
      </c>
      <c r="C269" s="12" t="inlineStr">
        <is>
          <t>US-109-01</t>
        </is>
      </c>
      <c r="D269" s="12" t="inlineStr">
        <is>
          <t>View and find information in Supplier Return</t>
        </is>
      </c>
      <c r="E269" s="12" t="inlineStr">
        <is>
          <t>EPIC-17</t>
        </is>
      </c>
      <c r="F269" s="12" t="inlineStr">
        <is>
          <t>Purchasing</t>
        </is>
      </c>
      <c r="G269" s="12" t="inlineStr">
        <is>
          <t>Returns</t>
        </is>
      </c>
      <c r="H269" s="11" t="inlineStr">
        <is>
          <t>SCR-109</t>
        </is>
      </c>
      <c r="I269" s="12" t="inlineStr">
        <is>
          <t>Supplier Return</t>
        </is>
      </c>
      <c r="J269" s="12" t="inlineStr">
        <is>
          <t>View / Search</t>
        </is>
      </c>
      <c r="K269" s="12" t="inlineStr">
        <is>
          <t>Purchase Manager</t>
        </is>
      </c>
      <c r="L269" s="12" t="inlineStr">
        <is>
          <t>As a Purchase Manager, I want to open Supplier Return and find relevant records using search, filters and sorting, so that I can make accurate operational decisions.</t>
        </is>
      </c>
      <c r="M269" s="12" t="inlineStr">
        <is>
          <t>Provides timely visibility for returns and reduces manual lookup effort.</t>
        </is>
      </c>
      <c r="N269" s="12" t="inlineStr">
        <is>
          <t>Authenticated user; active property; view permission for Purchasing; Inventory, Finance, Approvals data available.</t>
        </is>
      </c>
      <c r="O269" s="12" t="inlineStr">
        <is>
          <t>Given I am authenticated as Purchase Manager with access to the selected property, when I open Supplier Return,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69" s="12" t="inlineStr">
        <is>
          <t>Cross-property data never appears; unauthorized fields are masked; invalid filters do not break the screen; unavailable services return a controlled message.</t>
        </is>
      </c>
      <c r="Q269" s="12" t="inlineStr">
        <is>
          <t>Tenant/property scope; required fields; optimistic locking; timezone-safe dates; reason mandatory for overrides; currency precision; tax/rate totals; approval limit; no unbalanced or duplicate posting</t>
        </is>
      </c>
      <c r="R269" s="12" t="inlineStr">
        <is>
          <t>Inventory, Finance, Approvals</t>
        </is>
      </c>
      <c r="S269" s="12" t="inlineStr">
        <is>
          <t>GET, POST, PUT/PATCH, DELETE /api/v1/supplier-return; lookup, validation and audit endpoints; idempotency for financial/booking writes; entities: suppliers, requisitions, purchase_orders, goods_receipts, supplier_returns</t>
        </is>
      </c>
      <c r="T269" s="12" t="inlineStr">
        <is>
          <t>Should Have</t>
        </is>
      </c>
      <c r="U269" s="12" t="inlineStr">
        <is>
          <t>Release 1.1</t>
        </is>
      </c>
      <c r="V269" s="34" t="n">
        <v>3</v>
      </c>
      <c r="W269" s="12" t="inlineStr">
        <is>
          <t>S14-S15</t>
        </is>
      </c>
      <c r="X269" s="12" t="inlineStr">
        <is>
          <t>Backlog</t>
        </is>
      </c>
      <c r="Y269" s="13">
        <f>IF(X269="Done",1,IF(X269="QA",0.9,IF(X269="Code Review",0.75,IF(X269="In Development",0.5,IF(X269="Ready",0.1,0)))))</f>
        <v/>
      </c>
      <c r="Z269" s="12" t="n"/>
      <c r="AA269" s="12" t="inlineStr">
        <is>
          <t>TC-109-A</t>
        </is>
      </c>
      <c r="AB269" s="12" t="inlineStr">
        <is>
          <t>Approved screen design; story reviewed with Purchase Manager; dependencies, API contract, role permissions and test data identified.</t>
        </is>
      </c>
      <c r="AC269" s="12" t="inlineStr">
        <is>
          <t>Code reviewed; unit, API, UI, RBAC and integration tests pass; accessibility and responsive states verified; audit evidence captured; product owner accepts in staging.</t>
        </is>
      </c>
      <c r="AD269" s="12" t="n"/>
    </row>
    <row r="270" ht="78" customHeight="1" s="43">
      <c r="A270" s="11" t="n">
        <v>2</v>
      </c>
      <c r="B270" s="11" t="n">
        <v>266</v>
      </c>
      <c r="C270" s="12" t="inlineStr">
        <is>
          <t>US-109-02</t>
        </is>
      </c>
      <c r="D270" s="12" t="inlineStr">
        <is>
          <t>Complete the primary Supplier Return workflow</t>
        </is>
      </c>
      <c r="E270" s="12" t="inlineStr">
        <is>
          <t>EPIC-17</t>
        </is>
      </c>
      <c r="F270" s="12" t="inlineStr">
        <is>
          <t>Purchasing</t>
        </is>
      </c>
      <c r="G270" s="12" t="inlineStr">
        <is>
          <t>Returns</t>
        </is>
      </c>
      <c r="H270" s="11" t="inlineStr">
        <is>
          <t>SCR-109</t>
        </is>
      </c>
      <c r="I270" s="12" t="inlineStr">
        <is>
          <t>Supplier Return</t>
        </is>
      </c>
      <c r="J270" s="12" t="inlineStr">
        <is>
          <t>Primary Workflow</t>
        </is>
      </c>
      <c r="K270" s="12" t="inlineStr">
        <is>
          <t>Purchase Manager</t>
        </is>
      </c>
      <c r="L270" s="12" t="inlineStr">
        <is>
          <t>As a Purchase Manager, I want to list, search, filter, view, create, edit, cancel/delete under policy, export in Supplier Return, so that the returns process is completed accurately without duplicate or inconsistent records.</t>
        </is>
      </c>
      <c r="M270" s="12" t="inlineStr">
        <is>
          <t>Enable purchasing users to manage returns through the Supplier Return workflow with real-time status, validations and traceability.</t>
        </is>
      </c>
      <c r="N270" s="12" t="inlineStr">
        <is>
          <t>View access confirmed; required masters and linked records exist; Inventory, Finance, Approvals services are available; approval limit is valid.</t>
        </is>
      </c>
      <c r="O27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supplier return workflow; invalid or conflicting actions are blocked with clear messages; saved changes appear in related screens; sensitive changes are auditable.</t>
        </is>
      </c>
      <c r="P270" s="12" t="inlineStr">
        <is>
          <t>Duplicate submission is idempotent; stale data returns a refresh/conflict message; invalid status transitions are blocked; partial failure rolls back without orphan records.</t>
        </is>
      </c>
      <c r="Q270" s="12" t="inlineStr">
        <is>
          <t>Tenant/property scope; required fields; optimistic locking; timezone-safe dates; reason mandatory for overrides; currency precision; tax/rate totals; approval limit; no unbalanced or duplicate posting</t>
        </is>
      </c>
      <c r="R270" s="12" t="inlineStr">
        <is>
          <t>Inventory, Finance, Approvals</t>
        </is>
      </c>
      <c r="S270" s="12" t="inlineStr">
        <is>
          <t>GET, POST, PUT/PATCH, DELETE /api/v1/supplier-return; lookup, validation and audit endpoints; idempotency for financial/booking writes; entities: suppliers, requisitions, purchase_orders, goods_receipts, supplier_returns</t>
        </is>
      </c>
      <c r="T270" s="12" t="inlineStr">
        <is>
          <t>Should Have</t>
        </is>
      </c>
      <c r="U270" s="12" t="inlineStr">
        <is>
          <t>Release 1.1</t>
        </is>
      </c>
      <c r="V270" s="34" t="n">
        <v>5</v>
      </c>
      <c r="W270" s="12" t="inlineStr">
        <is>
          <t>S14-S15</t>
        </is>
      </c>
      <c r="X270" s="12" t="inlineStr">
        <is>
          <t>Backlog</t>
        </is>
      </c>
      <c r="Y270" s="13">
        <f>IF(X270="Done",1,IF(X270="QA",0.9,IF(X270="Code Review",0.75,IF(X270="In Development",0.5,IF(X270="Ready",0.1,0)))))</f>
        <v/>
      </c>
      <c r="Z270" s="12" t="n"/>
      <c r="AA270" s="12" t="inlineStr">
        <is>
          <t>TC-109-B</t>
        </is>
      </c>
      <c r="AB270" s="12" t="inlineStr">
        <is>
          <t>Approved screen design; story reviewed with Purchase Manager; dependencies, API contract, role permissions and test data identified.</t>
        </is>
      </c>
      <c r="AC270" s="12" t="inlineStr">
        <is>
          <t>Code reviewed; unit, API, UI, RBAC and integration tests pass; accessibility and responsive states verified; audit evidence captured; product owner accepts in staging.</t>
        </is>
      </c>
      <c r="AD270" s="12" t="n"/>
    </row>
    <row r="271" ht="78" customHeight="1" s="43">
      <c r="A271" s="11" t="n">
        <v>2</v>
      </c>
      <c r="B271" s="11" t="n">
        <v>267</v>
      </c>
      <c r="C271" s="12" t="inlineStr">
        <is>
          <t>US-109-03</t>
        </is>
      </c>
      <c r="D271" s="12" t="inlineStr">
        <is>
          <t>Control permissions, overrides and audit for Supplier Return</t>
        </is>
      </c>
      <c r="E271" s="12" t="inlineStr">
        <is>
          <t>EPIC-17</t>
        </is>
      </c>
      <c r="F271" s="12" t="inlineStr">
        <is>
          <t>Purchasing</t>
        </is>
      </c>
      <c r="G271" s="12" t="inlineStr">
        <is>
          <t>Returns</t>
        </is>
      </c>
      <c r="H271" s="11" t="inlineStr">
        <is>
          <t>SCR-109</t>
        </is>
      </c>
      <c r="I271" s="12" t="inlineStr">
        <is>
          <t>Supplier Return</t>
        </is>
      </c>
      <c r="J271" s="12" t="inlineStr">
        <is>
          <t>Security / Exceptions</t>
        </is>
      </c>
      <c r="K271" s="12" t="inlineStr">
        <is>
          <t>Purchase Manager</t>
        </is>
      </c>
      <c r="L271" s="12" t="inlineStr">
        <is>
          <t>As a department supervisor or auditor, I want sensitive actions in Supplier Return to follow permissions, approval limits and audit rules, so that resort operations remain secure, compliant and traceable.</t>
        </is>
      </c>
      <c r="M271" s="12" t="inlineStr">
        <is>
          <t>Reduces fraud, privacy leakage, unauthorized overrides and unresolved operational disputes.</t>
        </is>
      </c>
      <c r="N271" s="12" t="inlineStr">
        <is>
          <t>Roles, permissions, approval hierarchy and audit service are configured; allowed and denied test users exist.</t>
        </is>
      </c>
      <c r="O27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71" s="12" t="inlineStr">
        <is>
          <t>Tampered IDs, expired sessions, approval-limit violations and cross-tenant requests are rejected; secrets and sensitive guest/payment fields are never written to logs.</t>
        </is>
      </c>
      <c r="Q271" s="12" t="inlineStr">
        <is>
          <t>Tenant/property scope; required fields; optimistic locking; timezone-safe dates; reason mandatory for overrides; currency precision; tax/rate totals; approval limit; no unbalanced or duplicate posting</t>
        </is>
      </c>
      <c r="R271" s="12" t="inlineStr">
        <is>
          <t>Inventory, Finance, Approvals</t>
        </is>
      </c>
      <c r="S271" s="12" t="inlineStr">
        <is>
          <t>GET, POST, PUT/PATCH, DELETE /api/v1/supplier-return; lookup, validation and audit endpoints; idempotency for financial/booking writes; entities: suppliers, requisitions, purchase_orders, goods_receipts, supplier_returns</t>
        </is>
      </c>
      <c r="T271" s="12" t="inlineStr">
        <is>
          <t>Should Have</t>
        </is>
      </c>
      <c r="U271" s="12" t="inlineStr">
        <is>
          <t>Release 1.1</t>
        </is>
      </c>
      <c r="V271" s="34" t="n">
        <v>3</v>
      </c>
      <c r="W271" s="12" t="inlineStr">
        <is>
          <t>S14-S15</t>
        </is>
      </c>
      <c r="X271" s="12" t="inlineStr">
        <is>
          <t>Backlog</t>
        </is>
      </c>
      <c r="Y271" s="13">
        <f>IF(X271="Done",1,IF(X271="QA",0.9,IF(X271="Code Review",0.75,IF(X271="In Development",0.5,IF(X271="Ready",0.1,0)))))</f>
        <v/>
      </c>
      <c r="Z271" s="12" t="n"/>
      <c r="AA271" s="12" t="inlineStr">
        <is>
          <t>TC-109-C</t>
        </is>
      </c>
      <c r="AB271" s="12" t="inlineStr">
        <is>
          <t>Approved screen design; story reviewed with Purchase Manager; dependencies, API contract, role permissions and test data identified.</t>
        </is>
      </c>
      <c r="AC271" s="12" t="inlineStr">
        <is>
          <t>Code reviewed; unit, API, UI, RBAC and integration tests pass; accessibility and responsive states verified; audit evidence captured; product owner accepts in staging.</t>
        </is>
      </c>
      <c r="AD271" s="12" t="n"/>
    </row>
    <row r="272" ht="78" customHeight="1" s="43">
      <c r="A272" s="11" t="n">
        <v>2</v>
      </c>
      <c r="B272" s="11" t="n">
        <v>268</v>
      </c>
      <c r="C272" s="12" t="inlineStr">
        <is>
          <t>US-019-01</t>
        </is>
      </c>
      <c r="D272" s="12" t="inlineStr">
        <is>
          <t>View and find information in Maintenance Work Orders</t>
        </is>
      </c>
      <c r="E272" s="12" t="inlineStr">
        <is>
          <t>EPIC-13</t>
        </is>
      </c>
      <c r="F272" s="12" t="inlineStr">
        <is>
          <t>Maintenance</t>
        </is>
      </c>
      <c r="G272" s="12" t="inlineStr">
        <is>
          <t>Work Orders</t>
        </is>
      </c>
      <c r="H272" s="11" t="inlineStr">
        <is>
          <t>SCR-019</t>
        </is>
      </c>
      <c r="I272" s="12" t="inlineStr">
        <is>
          <t>Maintenance Work Orders</t>
        </is>
      </c>
      <c r="J272" s="12" t="inlineStr">
        <is>
          <t>View / Search</t>
        </is>
      </c>
      <c r="K272" s="12" t="inlineStr">
        <is>
          <t>Engineering Manager</t>
        </is>
      </c>
      <c r="L272" s="12" t="inlineStr">
        <is>
          <t>As a Engineering Manager, I want to open Maintenance Work Orders and find relevant records using search, filters and sorting, so that I can make accurate operational decisions.</t>
        </is>
      </c>
      <c r="M272" s="12" t="inlineStr">
        <is>
          <t>Provides timely visibility for work orders and reduces manual lookup effort.</t>
        </is>
      </c>
      <c r="N272" s="12" t="inlineStr">
        <is>
          <t>Authenticated user; active property; view permission for Maintenance; Rooms, Inventory, Workforce data available.</t>
        </is>
      </c>
      <c r="O272" s="12" t="inlineStr">
        <is>
          <t>Given I am authenticated as Engineering Manager with access to the selected property, when I open Maintenance Work Orders,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72" s="12" t="inlineStr">
        <is>
          <t>Cross-property data never appears; unauthorized fields are masked; invalid filters do not break the screen; unavailable services return a controlled message.</t>
        </is>
      </c>
      <c r="Q272" s="12" t="inlineStr">
        <is>
          <t>Tenant/property scope; required fields; optimistic locking; timezone-safe dates; reason mandatory for overrides; valid status transition; linked-record integrity</t>
        </is>
      </c>
      <c r="R272" s="12" t="inlineStr">
        <is>
          <t>Rooms, Inventory, Workforce</t>
        </is>
      </c>
      <c r="S272" s="12" t="inlineStr">
        <is>
          <t>GET, POST, PUT/PATCH, DELETE /api/v1/maintenance-work-orders; lookup, validation and audit endpoints; idempotency for financial/booking writes; entities: assets, maintenance_work_orders, preventive_plans</t>
        </is>
      </c>
      <c r="T272" s="12" t="inlineStr">
        <is>
          <t>Should Have</t>
        </is>
      </c>
      <c r="U272" s="12" t="inlineStr">
        <is>
          <t>Release 1.1</t>
        </is>
      </c>
      <c r="V272" s="34" t="n">
        <v>3</v>
      </c>
      <c r="W272" s="12" t="inlineStr">
        <is>
          <t>S16</t>
        </is>
      </c>
      <c r="X272" s="12" t="inlineStr">
        <is>
          <t>Backlog</t>
        </is>
      </c>
      <c r="Y272" s="13">
        <f>IF(X272="Done",1,IF(X272="QA",0.9,IF(X272="Code Review",0.75,IF(X272="In Development",0.5,IF(X272="Ready",0.1,0)))))</f>
        <v/>
      </c>
      <c r="Z272" s="12" t="n"/>
      <c r="AA272" s="12" t="inlineStr">
        <is>
          <t>TC-019-A</t>
        </is>
      </c>
      <c r="AB272" s="12" t="inlineStr">
        <is>
          <t>Approved screen design; story reviewed with Engineering Manager; dependencies, API contract, role permissions and test data identified.</t>
        </is>
      </c>
      <c r="AC272" s="12" t="inlineStr">
        <is>
          <t>Code reviewed; unit, API, UI, RBAC and integration tests pass; accessibility and responsive states verified; audit evidence captured; product owner accepts in staging.</t>
        </is>
      </c>
      <c r="AD272" s="12" t="n"/>
    </row>
    <row r="273" ht="78" customHeight="1" s="43">
      <c r="A273" s="11" t="n">
        <v>2</v>
      </c>
      <c r="B273" s="11" t="n">
        <v>269</v>
      </c>
      <c r="C273" s="12" t="inlineStr">
        <is>
          <t>US-019-02</t>
        </is>
      </c>
      <c r="D273" s="12" t="inlineStr">
        <is>
          <t>Complete the primary Maintenance Work Orders workflow</t>
        </is>
      </c>
      <c r="E273" s="12" t="inlineStr">
        <is>
          <t>EPIC-13</t>
        </is>
      </c>
      <c r="F273" s="12" t="inlineStr">
        <is>
          <t>Maintenance</t>
        </is>
      </c>
      <c r="G273" s="12" t="inlineStr">
        <is>
          <t>Work Orders</t>
        </is>
      </c>
      <c r="H273" s="11" t="inlineStr">
        <is>
          <t>SCR-019</t>
        </is>
      </c>
      <c r="I273" s="12" t="inlineStr">
        <is>
          <t>Maintenance Work Orders</t>
        </is>
      </c>
      <c r="J273" s="12" t="inlineStr">
        <is>
          <t>Primary Workflow</t>
        </is>
      </c>
      <c r="K273" s="12" t="inlineStr">
        <is>
          <t>Engineering Manager</t>
        </is>
      </c>
      <c r="L273" s="12" t="inlineStr">
        <is>
          <t>As a Engineering Manager, I want to list, search, filter, view, create, edit, cancel/delete under policy, export in Maintenance Work Orders, so that the work orders process is completed accurately without duplicate or inconsistent records.</t>
        </is>
      </c>
      <c r="M273" s="12" t="inlineStr">
        <is>
          <t>Enable maintenance users to manage work orders through the Maintenance Work Orders workflow with real-time status, validations and traceability.</t>
        </is>
      </c>
      <c r="N273" s="12" t="inlineStr">
        <is>
          <t>View access confirmed; required masters and linked records exist; Rooms, Inventory, Workforce services are available; approval limit is valid.</t>
        </is>
      </c>
      <c r="O27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maintenance work orders workflow; invalid or conflicting actions are blocked with clear messages; saved changes appear in related screens; sensitive changes are auditable.</t>
        </is>
      </c>
      <c r="P273" s="12" t="inlineStr">
        <is>
          <t>Duplicate submission is idempotent; stale data returns a refresh/conflict message; invalid status transitions are blocked; partial failure rolls back without orphan records.</t>
        </is>
      </c>
      <c r="Q273" s="12" t="inlineStr">
        <is>
          <t>Tenant/property scope; required fields; optimistic locking; timezone-safe dates; reason mandatory for overrides; valid status transition; linked-record integrity</t>
        </is>
      </c>
      <c r="R273" s="12" t="inlineStr">
        <is>
          <t>Rooms, Inventory, Workforce</t>
        </is>
      </c>
      <c r="S273" s="12" t="inlineStr">
        <is>
          <t>GET, POST, PUT/PATCH, DELETE /api/v1/maintenance-work-orders; lookup, validation and audit endpoints; idempotency for financial/booking writes; entities: assets, maintenance_work_orders, preventive_plans</t>
        </is>
      </c>
      <c r="T273" s="12" t="inlineStr">
        <is>
          <t>Should Have</t>
        </is>
      </c>
      <c r="U273" s="12" t="inlineStr">
        <is>
          <t>Release 1.1</t>
        </is>
      </c>
      <c r="V273" s="34" t="n">
        <v>5</v>
      </c>
      <c r="W273" s="12" t="inlineStr">
        <is>
          <t>S16</t>
        </is>
      </c>
      <c r="X273" s="12" t="inlineStr">
        <is>
          <t>Backlog</t>
        </is>
      </c>
      <c r="Y273" s="13">
        <f>IF(X273="Done",1,IF(X273="QA",0.9,IF(X273="Code Review",0.75,IF(X273="In Development",0.5,IF(X273="Ready",0.1,0)))))</f>
        <v/>
      </c>
      <c r="Z273" s="12" t="n"/>
      <c r="AA273" s="12" t="inlineStr">
        <is>
          <t>TC-019-B</t>
        </is>
      </c>
      <c r="AB273" s="12" t="inlineStr">
        <is>
          <t>Approved screen design; story reviewed with Engineering Manager; dependencies, API contract, role permissions and test data identified.</t>
        </is>
      </c>
      <c r="AC273" s="12" t="inlineStr">
        <is>
          <t>Code reviewed; unit, API, UI, RBAC and integration tests pass; accessibility and responsive states verified; audit evidence captured; product owner accepts in staging.</t>
        </is>
      </c>
      <c r="AD273" s="12" t="n"/>
    </row>
    <row r="274" ht="78" customHeight="1" s="43">
      <c r="A274" s="11" t="n">
        <v>2</v>
      </c>
      <c r="B274" s="11" t="n">
        <v>270</v>
      </c>
      <c r="C274" s="12" t="inlineStr">
        <is>
          <t>US-019-03</t>
        </is>
      </c>
      <c r="D274" s="12" t="inlineStr">
        <is>
          <t>Control permissions, overrides and audit for Maintenance Work Orders</t>
        </is>
      </c>
      <c r="E274" s="12" t="inlineStr">
        <is>
          <t>EPIC-13</t>
        </is>
      </c>
      <c r="F274" s="12" t="inlineStr">
        <is>
          <t>Maintenance</t>
        </is>
      </c>
      <c r="G274" s="12" t="inlineStr">
        <is>
          <t>Work Orders</t>
        </is>
      </c>
      <c r="H274" s="11" t="inlineStr">
        <is>
          <t>SCR-019</t>
        </is>
      </c>
      <c r="I274" s="12" t="inlineStr">
        <is>
          <t>Maintenance Work Orders</t>
        </is>
      </c>
      <c r="J274" s="12" t="inlineStr">
        <is>
          <t>Security / Exceptions</t>
        </is>
      </c>
      <c r="K274" s="12" t="inlineStr">
        <is>
          <t>Engineering Manager</t>
        </is>
      </c>
      <c r="L274" s="12" t="inlineStr">
        <is>
          <t>As a department supervisor or auditor, I want sensitive actions in Maintenance Work Orders to follow permissions, approval limits and audit rules, so that resort operations remain secure, compliant and traceable.</t>
        </is>
      </c>
      <c r="M274" s="12" t="inlineStr">
        <is>
          <t>Reduces fraud, privacy leakage, unauthorized overrides and unresolved operational disputes.</t>
        </is>
      </c>
      <c r="N274" s="12" t="inlineStr">
        <is>
          <t>Roles, permissions, approval hierarchy and audit service are configured; allowed and denied test users exist.</t>
        </is>
      </c>
      <c r="O27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74" s="12" t="inlineStr">
        <is>
          <t>Tampered IDs, expired sessions, approval-limit violations and cross-tenant requests are rejected; secrets and sensitive guest/payment fields are never written to logs.</t>
        </is>
      </c>
      <c r="Q274" s="12" t="inlineStr">
        <is>
          <t>Tenant/property scope; required fields; optimistic locking; timezone-safe dates; reason mandatory for overrides; valid status transition; linked-record integrity</t>
        </is>
      </c>
      <c r="R274" s="12" t="inlineStr">
        <is>
          <t>Rooms, Inventory, Workforce</t>
        </is>
      </c>
      <c r="S274" s="12" t="inlineStr">
        <is>
          <t>GET, POST, PUT/PATCH, DELETE /api/v1/maintenance-work-orders; lookup, validation and audit endpoints; idempotency for financial/booking writes; entities: assets, maintenance_work_orders, preventive_plans</t>
        </is>
      </c>
      <c r="T274" s="12" t="inlineStr">
        <is>
          <t>Should Have</t>
        </is>
      </c>
      <c r="U274" s="12" t="inlineStr">
        <is>
          <t>Release 1.1</t>
        </is>
      </c>
      <c r="V274" s="34" t="n">
        <v>3</v>
      </c>
      <c r="W274" s="12" t="inlineStr">
        <is>
          <t>S16</t>
        </is>
      </c>
      <c r="X274" s="12" t="inlineStr">
        <is>
          <t>Backlog</t>
        </is>
      </c>
      <c r="Y274" s="13">
        <f>IF(X274="Done",1,IF(X274="QA",0.9,IF(X274="Code Review",0.75,IF(X274="In Development",0.5,IF(X274="Ready",0.1,0)))))</f>
        <v/>
      </c>
      <c r="Z274" s="12" t="n"/>
      <c r="AA274" s="12" t="inlineStr">
        <is>
          <t>TC-019-C</t>
        </is>
      </c>
      <c r="AB274" s="12" t="inlineStr">
        <is>
          <t>Approved screen design; story reviewed with Engineering Manager; dependencies, API contract, role permissions and test data identified.</t>
        </is>
      </c>
      <c r="AC274" s="12" t="inlineStr">
        <is>
          <t>Code reviewed; unit, API, UI, RBAC and integration tests pass; accessibility and responsive states verified; audit evidence captured; product owner accepts in staging.</t>
        </is>
      </c>
      <c r="AD274" s="12" t="n"/>
    </row>
    <row r="275" ht="78" customHeight="1" s="43">
      <c r="A275" s="11" t="n">
        <v>2</v>
      </c>
      <c r="B275" s="11" t="n">
        <v>271</v>
      </c>
      <c r="C275" s="12" t="inlineStr">
        <is>
          <t>US-097-01</t>
        </is>
      </c>
      <c r="D275" s="12" t="inlineStr">
        <is>
          <t>View and find information in Create Maintenance Work Order</t>
        </is>
      </c>
      <c r="E275" s="12" t="inlineStr">
        <is>
          <t>EPIC-13</t>
        </is>
      </c>
      <c r="F275" s="12" t="inlineStr">
        <is>
          <t>Maintenance</t>
        </is>
      </c>
      <c r="G275" s="12" t="inlineStr">
        <is>
          <t>Work Orders</t>
        </is>
      </c>
      <c r="H275" s="11" t="inlineStr">
        <is>
          <t>SCR-097</t>
        </is>
      </c>
      <c r="I275" s="12" t="inlineStr">
        <is>
          <t>Create Maintenance Work Order</t>
        </is>
      </c>
      <c r="J275" s="12" t="inlineStr">
        <is>
          <t>View / Search</t>
        </is>
      </c>
      <c r="K275" s="12" t="inlineStr">
        <is>
          <t>Engineering Manager</t>
        </is>
      </c>
      <c r="L275" s="12" t="inlineStr">
        <is>
          <t>As a Engineering Manager, I want to open Create Maintenance Work Order and find relevant records using search, filters and sorting, so that I can make accurate operational decisions.</t>
        </is>
      </c>
      <c r="M275" s="12" t="inlineStr">
        <is>
          <t>Provides timely visibility for work orders and reduces manual lookup effort.</t>
        </is>
      </c>
      <c r="N275" s="12" t="inlineStr">
        <is>
          <t>Authenticated user; active property; view permission for Maintenance; Rooms, Inventory, Workforce data available.</t>
        </is>
      </c>
      <c r="O275" s="12" t="inlineStr">
        <is>
          <t>Given I am authenticated as Engineering Manager with access to the selected property, when I open Create Maintenance Work Order,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75" s="12" t="inlineStr">
        <is>
          <t>Cross-property data never appears; unauthorized fields are masked; invalid filters do not break the screen; unavailable services return a controlled message.</t>
        </is>
      </c>
      <c r="Q275" s="12" t="inlineStr">
        <is>
          <t>Tenant/property scope; required fields; optimistic locking; timezone-safe dates; reason mandatory for overrides; valid status transition; linked-record integrity</t>
        </is>
      </c>
      <c r="R275" s="12" t="inlineStr">
        <is>
          <t>Rooms, Inventory, Workforce</t>
        </is>
      </c>
      <c r="S275" s="12" t="inlineStr">
        <is>
          <t>GET, POST, PUT/PATCH, DELETE /api/v1/create-maintenance-work-order; lookup, validation and audit endpoints; idempotency for financial/booking writes; entities: assets, maintenance_work_orders, preventive_plans</t>
        </is>
      </c>
      <c r="T275" s="12" t="inlineStr">
        <is>
          <t>Should Have</t>
        </is>
      </c>
      <c r="U275" s="12" t="inlineStr">
        <is>
          <t>Release 1.1</t>
        </is>
      </c>
      <c r="V275" s="34" t="n">
        <v>3</v>
      </c>
      <c r="W275" s="12" t="inlineStr">
        <is>
          <t>S16</t>
        </is>
      </c>
      <c r="X275" s="12" t="inlineStr">
        <is>
          <t>Backlog</t>
        </is>
      </c>
      <c r="Y275" s="13">
        <f>IF(X275="Done",1,IF(X275="QA",0.9,IF(X275="Code Review",0.75,IF(X275="In Development",0.5,IF(X275="Ready",0.1,0)))))</f>
        <v/>
      </c>
      <c r="Z275" s="12" t="n"/>
      <c r="AA275" s="12" t="inlineStr">
        <is>
          <t>TC-097-A</t>
        </is>
      </c>
      <c r="AB275" s="12" t="inlineStr">
        <is>
          <t>Approved screen design; story reviewed with Engineering Manager; dependencies, API contract, role permissions and test data identified.</t>
        </is>
      </c>
      <c r="AC275" s="12" t="inlineStr">
        <is>
          <t>Code reviewed; unit, API, UI, RBAC and integration tests pass; accessibility and responsive states verified; audit evidence captured; product owner accepts in staging.</t>
        </is>
      </c>
      <c r="AD275" s="12" t="n"/>
    </row>
    <row r="276" ht="78" customHeight="1" s="43">
      <c r="A276" s="11" t="n">
        <v>2</v>
      </c>
      <c r="B276" s="11" t="n">
        <v>272</v>
      </c>
      <c r="C276" s="12" t="inlineStr">
        <is>
          <t>US-097-02</t>
        </is>
      </c>
      <c r="D276" s="12" t="inlineStr">
        <is>
          <t>Complete the primary Create Maintenance Work Order workflow</t>
        </is>
      </c>
      <c r="E276" s="12" t="inlineStr">
        <is>
          <t>EPIC-13</t>
        </is>
      </c>
      <c r="F276" s="12" t="inlineStr">
        <is>
          <t>Maintenance</t>
        </is>
      </c>
      <c r="G276" s="12" t="inlineStr">
        <is>
          <t>Work Orders</t>
        </is>
      </c>
      <c r="H276" s="11" t="inlineStr">
        <is>
          <t>SCR-097</t>
        </is>
      </c>
      <c r="I276" s="12" t="inlineStr">
        <is>
          <t>Create Maintenance Work Order</t>
        </is>
      </c>
      <c r="J276" s="12" t="inlineStr">
        <is>
          <t>Primary Workflow</t>
        </is>
      </c>
      <c r="K276" s="12" t="inlineStr">
        <is>
          <t>Engineering Manager</t>
        </is>
      </c>
      <c r="L276" s="12" t="inlineStr">
        <is>
          <t>As a Engineering Manager, I want to list, view, create, edit, activate/deactivate, delete where safe in Create Maintenance Work Order, so that the work orders process is completed accurately without duplicate or inconsistent records.</t>
        </is>
      </c>
      <c r="M276" s="12" t="inlineStr">
        <is>
          <t>Enable maintenance users to manage work orders through the Create Maintenance Work Order workflow with real-time status, validations and traceability.</t>
        </is>
      </c>
      <c r="N276" s="12" t="inlineStr">
        <is>
          <t>View access confirmed; required masters and linked records exist; Rooms, Inventory, Workforce services are available; approval limit is valid.</t>
        </is>
      </c>
      <c r="O27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maintenance work order workflow; invalid or conflicting actions are blocked with clear messages; saved changes appear in related screens; sensitive changes are auditable.</t>
        </is>
      </c>
      <c r="P276" s="12" t="inlineStr">
        <is>
          <t>Duplicate submission is idempotent; stale data returns a refresh/conflict message; invalid status transitions are blocked; partial failure rolls back without orphan records.</t>
        </is>
      </c>
      <c r="Q276" s="12" t="inlineStr">
        <is>
          <t>Tenant/property scope; required fields; optimistic locking; timezone-safe dates; reason mandatory for overrides; valid status transition; linked-record integrity</t>
        </is>
      </c>
      <c r="R276" s="12" t="inlineStr">
        <is>
          <t>Rooms, Inventory, Workforce</t>
        </is>
      </c>
      <c r="S276" s="12" t="inlineStr">
        <is>
          <t>GET, POST, PUT/PATCH, DELETE /api/v1/create-maintenance-work-order; lookup, validation and audit endpoints; idempotency for financial/booking writes; entities: assets, maintenance_work_orders, preventive_plans</t>
        </is>
      </c>
      <c r="T276" s="12" t="inlineStr">
        <is>
          <t>Should Have</t>
        </is>
      </c>
      <c r="U276" s="12" t="inlineStr">
        <is>
          <t>Release 1.1</t>
        </is>
      </c>
      <c r="V276" s="34" t="n">
        <v>5</v>
      </c>
      <c r="W276" s="12" t="inlineStr">
        <is>
          <t>S16</t>
        </is>
      </c>
      <c r="X276" s="12" t="inlineStr">
        <is>
          <t>Backlog</t>
        </is>
      </c>
      <c r="Y276" s="13">
        <f>IF(X276="Done",1,IF(X276="QA",0.9,IF(X276="Code Review",0.75,IF(X276="In Development",0.5,IF(X276="Ready",0.1,0)))))</f>
        <v/>
      </c>
      <c r="Z276" s="12" t="n"/>
      <c r="AA276" s="12" t="inlineStr">
        <is>
          <t>TC-097-B</t>
        </is>
      </c>
      <c r="AB276" s="12" t="inlineStr">
        <is>
          <t>Approved screen design; story reviewed with Engineering Manager; dependencies, API contract, role permissions and test data identified.</t>
        </is>
      </c>
      <c r="AC276" s="12" t="inlineStr">
        <is>
          <t>Code reviewed; unit, API, UI, RBAC and integration tests pass; accessibility and responsive states verified; audit evidence captured; product owner accepts in staging.</t>
        </is>
      </c>
      <c r="AD276" s="12" t="n"/>
    </row>
    <row r="277" ht="78" customHeight="1" s="43">
      <c r="A277" s="11" t="n">
        <v>2</v>
      </c>
      <c r="B277" s="11" t="n">
        <v>273</v>
      </c>
      <c r="C277" s="12" t="inlineStr">
        <is>
          <t>US-097-03</t>
        </is>
      </c>
      <c r="D277" s="12" t="inlineStr">
        <is>
          <t>Control permissions, overrides and audit for Create Maintenance Work Order</t>
        </is>
      </c>
      <c r="E277" s="12" t="inlineStr">
        <is>
          <t>EPIC-13</t>
        </is>
      </c>
      <c r="F277" s="12" t="inlineStr">
        <is>
          <t>Maintenance</t>
        </is>
      </c>
      <c r="G277" s="12" t="inlineStr">
        <is>
          <t>Work Orders</t>
        </is>
      </c>
      <c r="H277" s="11" t="inlineStr">
        <is>
          <t>SCR-097</t>
        </is>
      </c>
      <c r="I277" s="12" t="inlineStr">
        <is>
          <t>Create Maintenance Work Order</t>
        </is>
      </c>
      <c r="J277" s="12" t="inlineStr">
        <is>
          <t>Security / Exceptions</t>
        </is>
      </c>
      <c r="K277" s="12" t="inlineStr">
        <is>
          <t>Engineering Manager</t>
        </is>
      </c>
      <c r="L277" s="12" t="inlineStr">
        <is>
          <t>As a department supervisor or auditor, I want sensitive actions in Create Maintenance Work Order to follow permissions, approval limits and audit rules, so that resort operations remain secure, compliant and traceable.</t>
        </is>
      </c>
      <c r="M277" s="12" t="inlineStr">
        <is>
          <t>Reduces fraud, privacy leakage, unauthorized overrides and unresolved operational disputes.</t>
        </is>
      </c>
      <c r="N277" s="12" t="inlineStr">
        <is>
          <t>Roles, permissions, approval hierarchy and audit service are configured; allowed and denied test users exist.</t>
        </is>
      </c>
      <c r="O27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77" s="12" t="inlineStr">
        <is>
          <t>Tampered IDs, expired sessions, approval-limit violations and cross-tenant requests are rejected; secrets and sensitive guest/payment fields are never written to logs.</t>
        </is>
      </c>
      <c r="Q277" s="12" t="inlineStr">
        <is>
          <t>Tenant/property scope; required fields; optimistic locking; timezone-safe dates; reason mandatory for overrides; valid status transition; linked-record integrity</t>
        </is>
      </c>
      <c r="R277" s="12" t="inlineStr">
        <is>
          <t>Rooms, Inventory, Workforce</t>
        </is>
      </c>
      <c r="S277" s="12" t="inlineStr">
        <is>
          <t>GET, POST, PUT/PATCH, DELETE /api/v1/create-maintenance-work-order; lookup, validation and audit endpoints; idempotency for financial/booking writes; entities: assets, maintenance_work_orders, preventive_plans</t>
        </is>
      </c>
      <c r="T277" s="12" t="inlineStr">
        <is>
          <t>Should Have</t>
        </is>
      </c>
      <c r="U277" s="12" t="inlineStr">
        <is>
          <t>Release 1.1</t>
        </is>
      </c>
      <c r="V277" s="34" t="n">
        <v>3</v>
      </c>
      <c r="W277" s="12" t="inlineStr">
        <is>
          <t>S16</t>
        </is>
      </c>
      <c r="X277" s="12" t="inlineStr">
        <is>
          <t>Backlog</t>
        </is>
      </c>
      <c r="Y277" s="13">
        <f>IF(X277="Done",1,IF(X277="QA",0.9,IF(X277="Code Review",0.75,IF(X277="In Development",0.5,IF(X277="Ready",0.1,0)))))</f>
        <v/>
      </c>
      <c r="Z277" s="12" t="n"/>
      <c r="AA277" s="12" t="inlineStr">
        <is>
          <t>TC-097-C</t>
        </is>
      </c>
      <c r="AB277" s="12" t="inlineStr">
        <is>
          <t>Approved screen design; story reviewed with Engineering Manager; dependencies, API contract, role permissions and test data identified.</t>
        </is>
      </c>
      <c r="AC277" s="12" t="inlineStr">
        <is>
          <t>Code reviewed; unit, API, UI, RBAC and integration tests pass; accessibility and responsive states verified; audit evidence captured; product owner accepts in staging.</t>
        </is>
      </c>
      <c r="AD277" s="12" t="n"/>
    </row>
    <row r="278" ht="78" customHeight="1" s="43">
      <c r="A278" s="11" t="n">
        <v>2</v>
      </c>
      <c r="B278" s="11" t="n">
        <v>274</v>
      </c>
      <c r="C278" s="12" t="inlineStr">
        <is>
          <t>US-098-01</t>
        </is>
      </c>
      <c r="D278" s="12" t="inlineStr">
        <is>
          <t>View and find information in Maintenance Work Order Details and Edit</t>
        </is>
      </c>
      <c r="E278" s="12" t="inlineStr">
        <is>
          <t>EPIC-13</t>
        </is>
      </c>
      <c r="F278" s="12" t="inlineStr">
        <is>
          <t>Maintenance</t>
        </is>
      </c>
      <c r="G278" s="12" t="inlineStr">
        <is>
          <t>Work Orders</t>
        </is>
      </c>
      <c r="H278" s="11" t="inlineStr">
        <is>
          <t>SCR-098</t>
        </is>
      </c>
      <c r="I278" s="12" t="inlineStr">
        <is>
          <t>Maintenance Work Order Details and Edit</t>
        </is>
      </c>
      <c r="J278" s="12" t="inlineStr">
        <is>
          <t>View / Search</t>
        </is>
      </c>
      <c r="K278" s="12" t="inlineStr">
        <is>
          <t>Engineering Manager</t>
        </is>
      </c>
      <c r="L278" s="12" t="inlineStr">
        <is>
          <t>As a Engineering Manager, I want to open Maintenance Work Order Details and Edit and find relevant records using search, filters and sorting, so that I can make accurate operational decisions.</t>
        </is>
      </c>
      <c r="M278" s="12" t="inlineStr">
        <is>
          <t>Provides timely visibility for work orders and reduces manual lookup effort.</t>
        </is>
      </c>
      <c r="N278" s="12" t="inlineStr">
        <is>
          <t>Authenticated user; active property; view permission for Maintenance; Rooms, Inventory, Workforce data available.</t>
        </is>
      </c>
      <c r="O278" s="12" t="inlineStr">
        <is>
          <t>Given I am authenticated as Engineering Manager with access to the selected property, when I open Maintenance Work Order Details and Edit,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78" s="12" t="inlineStr">
        <is>
          <t>Cross-property data never appears; unauthorized fields are masked; invalid filters do not break the screen; unavailable services return a controlled message.</t>
        </is>
      </c>
      <c r="Q278" s="12" t="inlineStr">
        <is>
          <t>Tenant/property scope; required fields; optimistic locking; timezone-safe dates; reason mandatory for overrides; valid status transition; linked-record integrity</t>
        </is>
      </c>
      <c r="R278" s="12" t="inlineStr">
        <is>
          <t>Rooms, Inventory, Workforce</t>
        </is>
      </c>
      <c r="S278" s="12" t="inlineStr">
        <is>
          <t>GET, POST, PUT/PATCH, DELETE /api/v1/maintenance-work-order-details-and-edit; lookup, validation and audit endpoints; idempotency for financial/booking writes; entities: assets, maintenance_work_orders, preventive_plans</t>
        </is>
      </c>
      <c r="T278" s="12" t="inlineStr">
        <is>
          <t>Should Have</t>
        </is>
      </c>
      <c r="U278" s="12" t="inlineStr">
        <is>
          <t>Release 1.1</t>
        </is>
      </c>
      <c r="V278" s="34" t="n">
        <v>3</v>
      </c>
      <c r="W278" s="12" t="inlineStr">
        <is>
          <t>S16</t>
        </is>
      </c>
      <c r="X278" s="12" t="inlineStr">
        <is>
          <t>Backlog</t>
        </is>
      </c>
      <c r="Y278" s="13">
        <f>IF(X278="Done",1,IF(X278="QA",0.9,IF(X278="Code Review",0.75,IF(X278="In Development",0.5,IF(X278="Ready",0.1,0)))))</f>
        <v/>
      </c>
      <c r="Z278" s="12" t="n"/>
      <c r="AA278" s="12" t="inlineStr">
        <is>
          <t>TC-098-A</t>
        </is>
      </c>
      <c r="AB278" s="12" t="inlineStr">
        <is>
          <t>Approved screen design; story reviewed with Engineering Manager; dependencies, API contract, role permissions and test data identified.</t>
        </is>
      </c>
      <c r="AC278" s="12" t="inlineStr">
        <is>
          <t>Code reviewed; unit, API, UI, RBAC and integration tests pass; accessibility and responsive states verified; audit evidence captured; product owner accepts in staging.</t>
        </is>
      </c>
      <c r="AD278" s="12" t="n"/>
    </row>
    <row r="279" ht="78" customHeight="1" s="43">
      <c r="A279" s="11" t="n">
        <v>2</v>
      </c>
      <c r="B279" s="11" t="n">
        <v>275</v>
      </c>
      <c r="C279" s="12" t="inlineStr">
        <is>
          <t>US-098-02</t>
        </is>
      </c>
      <c r="D279" s="12" t="inlineStr">
        <is>
          <t>Complete the primary Maintenance Work Order Details and Edit workflow</t>
        </is>
      </c>
      <c r="E279" s="12" t="inlineStr">
        <is>
          <t>EPIC-13</t>
        </is>
      </c>
      <c r="F279" s="12" t="inlineStr">
        <is>
          <t>Maintenance</t>
        </is>
      </c>
      <c r="G279" s="12" t="inlineStr">
        <is>
          <t>Work Orders</t>
        </is>
      </c>
      <c r="H279" s="11" t="inlineStr">
        <is>
          <t>SCR-098</t>
        </is>
      </c>
      <c r="I279" s="12" t="inlineStr">
        <is>
          <t>Maintenance Work Order Details and Edit</t>
        </is>
      </c>
      <c r="J279" s="12" t="inlineStr">
        <is>
          <t>Primary Workflow</t>
        </is>
      </c>
      <c r="K279" s="12" t="inlineStr">
        <is>
          <t>Engineering Manager</t>
        </is>
      </c>
      <c r="L279" s="12" t="inlineStr">
        <is>
          <t>As a Engineering Manager, I want to list, search, filter, view, create, edit, cancel/delete under policy, export in Maintenance Work Order Details and Edit, so that the work orders process is completed accurately without duplicate or inconsistent records.</t>
        </is>
      </c>
      <c r="M279" s="12" t="inlineStr">
        <is>
          <t>Enable maintenance users to manage work orders through the Maintenance Work Order Details and Edit workflow with real-time status, validations and traceability.</t>
        </is>
      </c>
      <c r="N279" s="12" t="inlineStr">
        <is>
          <t>View access confirmed; required masters and linked records exist; Rooms, Inventory, Workforce services are available; approval limit is valid.</t>
        </is>
      </c>
      <c r="O27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maintenance work order details and edit workflow; invalid or conflicting actions are blocked with clear messages; saved changes appear in related screens; sensitive changes are auditable.</t>
        </is>
      </c>
      <c r="P279" s="12" t="inlineStr">
        <is>
          <t>Duplicate submission is idempotent; stale data returns a refresh/conflict message; invalid status transitions are blocked; partial failure rolls back without orphan records.</t>
        </is>
      </c>
      <c r="Q279" s="12" t="inlineStr">
        <is>
          <t>Tenant/property scope; required fields; optimistic locking; timezone-safe dates; reason mandatory for overrides; valid status transition; linked-record integrity</t>
        </is>
      </c>
      <c r="R279" s="12" t="inlineStr">
        <is>
          <t>Rooms, Inventory, Workforce</t>
        </is>
      </c>
      <c r="S279" s="12" t="inlineStr">
        <is>
          <t>GET, POST, PUT/PATCH, DELETE /api/v1/maintenance-work-order-details-and-edit; lookup, validation and audit endpoints; idempotency for financial/booking writes; entities: assets, maintenance_work_orders, preventive_plans</t>
        </is>
      </c>
      <c r="T279" s="12" t="inlineStr">
        <is>
          <t>Should Have</t>
        </is>
      </c>
      <c r="U279" s="12" t="inlineStr">
        <is>
          <t>Release 1.1</t>
        </is>
      </c>
      <c r="V279" s="34" t="n">
        <v>5</v>
      </c>
      <c r="W279" s="12" t="inlineStr">
        <is>
          <t>S16</t>
        </is>
      </c>
      <c r="X279" s="12" t="inlineStr">
        <is>
          <t>Backlog</t>
        </is>
      </c>
      <c r="Y279" s="13">
        <f>IF(X279="Done",1,IF(X279="QA",0.9,IF(X279="Code Review",0.75,IF(X279="In Development",0.5,IF(X279="Ready",0.1,0)))))</f>
        <v/>
      </c>
      <c r="Z279" s="12" t="n"/>
      <c r="AA279" s="12" t="inlineStr">
        <is>
          <t>TC-098-B</t>
        </is>
      </c>
      <c r="AB279" s="12" t="inlineStr">
        <is>
          <t>Approved screen design; story reviewed with Engineering Manager; dependencies, API contract, role permissions and test data identified.</t>
        </is>
      </c>
      <c r="AC279" s="12" t="inlineStr">
        <is>
          <t>Code reviewed; unit, API, UI, RBAC and integration tests pass; accessibility and responsive states verified; audit evidence captured; product owner accepts in staging.</t>
        </is>
      </c>
      <c r="AD279" s="12" t="n"/>
    </row>
    <row r="280" ht="78" customHeight="1" s="43">
      <c r="A280" s="11" t="n">
        <v>2</v>
      </c>
      <c r="B280" s="11" t="n">
        <v>276</v>
      </c>
      <c r="C280" s="12" t="inlineStr">
        <is>
          <t>US-098-03</t>
        </is>
      </c>
      <c r="D280" s="12" t="inlineStr">
        <is>
          <t>Control permissions, overrides and audit for Maintenance Work Order Details and Edit</t>
        </is>
      </c>
      <c r="E280" s="12" t="inlineStr">
        <is>
          <t>EPIC-13</t>
        </is>
      </c>
      <c r="F280" s="12" t="inlineStr">
        <is>
          <t>Maintenance</t>
        </is>
      </c>
      <c r="G280" s="12" t="inlineStr">
        <is>
          <t>Work Orders</t>
        </is>
      </c>
      <c r="H280" s="11" t="inlineStr">
        <is>
          <t>SCR-098</t>
        </is>
      </c>
      <c r="I280" s="12" t="inlineStr">
        <is>
          <t>Maintenance Work Order Details and Edit</t>
        </is>
      </c>
      <c r="J280" s="12" t="inlineStr">
        <is>
          <t>Security / Exceptions</t>
        </is>
      </c>
      <c r="K280" s="12" t="inlineStr">
        <is>
          <t>Engineering Manager</t>
        </is>
      </c>
      <c r="L280" s="12" t="inlineStr">
        <is>
          <t>As a department supervisor or auditor, I want sensitive actions in Maintenance Work Order Details and Edit to follow permissions, approval limits and audit rules, so that resort operations remain secure, compliant and traceable.</t>
        </is>
      </c>
      <c r="M280" s="12" t="inlineStr">
        <is>
          <t>Reduces fraud, privacy leakage, unauthorized overrides and unresolved operational disputes.</t>
        </is>
      </c>
      <c r="N280" s="12" t="inlineStr">
        <is>
          <t>Roles, permissions, approval hierarchy and audit service are configured; allowed and denied test users exist.</t>
        </is>
      </c>
      <c r="O28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80" s="12" t="inlineStr">
        <is>
          <t>Tampered IDs, expired sessions, approval-limit violations and cross-tenant requests are rejected; secrets and sensitive guest/payment fields are never written to logs.</t>
        </is>
      </c>
      <c r="Q280" s="12" t="inlineStr">
        <is>
          <t>Tenant/property scope; required fields; optimistic locking; timezone-safe dates; reason mandatory for overrides; valid status transition; linked-record integrity</t>
        </is>
      </c>
      <c r="R280" s="12" t="inlineStr">
        <is>
          <t>Rooms, Inventory, Workforce</t>
        </is>
      </c>
      <c r="S280" s="12" t="inlineStr">
        <is>
          <t>GET, POST, PUT/PATCH, DELETE /api/v1/maintenance-work-order-details-and-edit; lookup, validation and audit endpoints; idempotency for financial/booking writes; entities: assets, maintenance_work_orders, preventive_plans</t>
        </is>
      </c>
      <c r="T280" s="12" t="inlineStr">
        <is>
          <t>Should Have</t>
        </is>
      </c>
      <c r="U280" s="12" t="inlineStr">
        <is>
          <t>Release 1.1</t>
        </is>
      </c>
      <c r="V280" s="34" t="n">
        <v>3</v>
      </c>
      <c r="W280" s="12" t="inlineStr">
        <is>
          <t>S16</t>
        </is>
      </c>
      <c r="X280" s="12" t="inlineStr">
        <is>
          <t>Backlog</t>
        </is>
      </c>
      <c r="Y280" s="13">
        <f>IF(X280="Done",1,IF(X280="QA",0.9,IF(X280="Code Review",0.75,IF(X280="In Development",0.5,IF(X280="Ready",0.1,0)))))</f>
        <v/>
      </c>
      <c r="Z280" s="12" t="n"/>
      <c r="AA280" s="12" t="inlineStr">
        <is>
          <t>TC-098-C</t>
        </is>
      </c>
      <c r="AB280" s="12" t="inlineStr">
        <is>
          <t>Approved screen design; story reviewed with Engineering Manager; dependencies, API contract, role permissions and test data identified.</t>
        </is>
      </c>
      <c r="AC280" s="12" t="inlineStr">
        <is>
          <t>Code reviewed; unit, API, UI, RBAC and integration tests pass; accessibility and responsive states verified; audit evidence captured; product owner accepts in staging.</t>
        </is>
      </c>
      <c r="AD280" s="12" t="n"/>
    </row>
    <row r="281" ht="78" customHeight="1" s="43">
      <c r="A281" s="11" t="n">
        <v>2</v>
      </c>
      <c r="B281" s="11" t="n">
        <v>277</v>
      </c>
      <c r="C281" s="12" t="inlineStr">
        <is>
          <t>US-099-01</t>
        </is>
      </c>
      <c r="D281" s="12" t="inlineStr">
        <is>
          <t>View and find information in Asset Register and Edit</t>
        </is>
      </c>
      <c r="E281" s="12" t="inlineStr">
        <is>
          <t>EPIC-13</t>
        </is>
      </c>
      <c r="F281" s="12" t="inlineStr">
        <is>
          <t>Maintenance</t>
        </is>
      </c>
      <c r="G281" s="12" t="inlineStr">
        <is>
          <t>Assets</t>
        </is>
      </c>
      <c r="H281" s="11" t="inlineStr">
        <is>
          <t>SCR-099</t>
        </is>
      </c>
      <c r="I281" s="12" t="inlineStr">
        <is>
          <t>Asset Register and Edit</t>
        </is>
      </c>
      <c r="J281" s="12" t="inlineStr">
        <is>
          <t>View / Search</t>
        </is>
      </c>
      <c r="K281" s="12" t="inlineStr">
        <is>
          <t>Engineering Manager</t>
        </is>
      </c>
      <c r="L281" s="12" t="inlineStr">
        <is>
          <t>As a Engineering Manager, I want to open Asset Register and Edit and find relevant records using search, filters and sorting, so that I can make accurate operational decisions.</t>
        </is>
      </c>
      <c r="M281" s="12" t="inlineStr">
        <is>
          <t>Provides timely visibility for assets and reduces manual lookup effort.</t>
        </is>
      </c>
      <c r="N281" s="12" t="inlineStr">
        <is>
          <t>Authenticated user; active property; view permission for Maintenance; Rooms, Inventory, Workforce data available.</t>
        </is>
      </c>
      <c r="O281" s="12" t="inlineStr">
        <is>
          <t>Given I am authenticated as Engineering Manager with access to the selected property, when I open Asset Register and Edit,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81" s="12" t="inlineStr">
        <is>
          <t>Cross-property data never appears; unauthorized fields are masked; invalid filters do not break the screen; unavailable services return a controlled message.</t>
        </is>
      </c>
      <c r="Q281" s="12" t="inlineStr">
        <is>
          <t>Tenant/property scope; required fields; optimistic locking; timezone-safe dates; reason mandatory for overrides; valid status transition; linked-record integrity</t>
        </is>
      </c>
      <c r="R281" s="12" t="inlineStr">
        <is>
          <t>Rooms, Inventory, Workforce</t>
        </is>
      </c>
      <c r="S281" s="12" t="inlineStr">
        <is>
          <t>GET, POST, PUT/PATCH, DELETE /api/v1/asset-register-and-edit; lookup, validation and audit endpoints; idempotency for financial/booking writes; entities: assets, maintenance_work_orders, preventive_plans</t>
        </is>
      </c>
      <c r="T281" s="12" t="inlineStr">
        <is>
          <t>Should Have</t>
        </is>
      </c>
      <c r="U281" s="12" t="inlineStr">
        <is>
          <t>Release 1.1</t>
        </is>
      </c>
      <c r="V281" s="34" t="n">
        <v>3</v>
      </c>
      <c r="W281" s="12" t="inlineStr">
        <is>
          <t>S16</t>
        </is>
      </c>
      <c r="X281" s="12" t="inlineStr">
        <is>
          <t>Backlog</t>
        </is>
      </c>
      <c r="Y281" s="13">
        <f>IF(X281="Done",1,IF(X281="QA",0.9,IF(X281="Code Review",0.75,IF(X281="In Development",0.5,IF(X281="Ready",0.1,0)))))</f>
        <v/>
      </c>
      <c r="Z281" s="12" t="n"/>
      <c r="AA281" s="12" t="inlineStr">
        <is>
          <t>TC-099-A</t>
        </is>
      </c>
      <c r="AB281" s="12" t="inlineStr">
        <is>
          <t>Approved screen design; story reviewed with Engineering Manager; dependencies, API contract, role permissions and test data identified.</t>
        </is>
      </c>
      <c r="AC281" s="12" t="inlineStr">
        <is>
          <t>Code reviewed; unit, API, UI, RBAC and integration tests pass; accessibility and responsive states verified; audit evidence captured; product owner accepts in staging.</t>
        </is>
      </c>
      <c r="AD281" s="12" t="n"/>
    </row>
    <row r="282" ht="78" customHeight="1" s="43">
      <c r="A282" s="11" t="n">
        <v>2</v>
      </c>
      <c r="B282" s="11" t="n">
        <v>278</v>
      </c>
      <c r="C282" s="12" t="inlineStr">
        <is>
          <t>US-099-02</t>
        </is>
      </c>
      <c r="D282" s="12" t="inlineStr">
        <is>
          <t>Complete the primary Asset Register and Edit workflow</t>
        </is>
      </c>
      <c r="E282" s="12" t="inlineStr">
        <is>
          <t>EPIC-13</t>
        </is>
      </c>
      <c r="F282" s="12" t="inlineStr">
        <is>
          <t>Maintenance</t>
        </is>
      </c>
      <c r="G282" s="12" t="inlineStr">
        <is>
          <t>Assets</t>
        </is>
      </c>
      <c r="H282" s="11" t="inlineStr">
        <is>
          <t>SCR-099</t>
        </is>
      </c>
      <c r="I282" s="12" t="inlineStr">
        <is>
          <t>Asset Register and Edit</t>
        </is>
      </c>
      <c r="J282" s="12" t="inlineStr">
        <is>
          <t>Primary Workflow</t>
        </is>
      </c>
      <c r="K282" s="12" t="inlineStr">
        <is>
          <t>Engineering Manager</t>
        </is>
      </c>
      <c r="L282" s="12" t="inlineStr">
        <is>
          <t>As a Engineering Manager, I want to list, search, filter, view, create, edit, cancel/delete under policy, export in Asset Register and Edit, so that the assets process is completed accurately without duplicate or inconsistent records.</t>
        </is>
      </c>
      <c r="M282" s="12" t="inlineStr">
        <is>
          <t>Enable maintenance users to manage assets through the Asset Register and Edit workflow with real-time status, validations and traceability.</t>
        </is>
      </c>
      <c r="N282" s="12" t="inlineStr">
        <is>
          <t>View access confirmed; required masters and linked records exist; Rooms, Inventory, Workforce services are available; approval limit is valid.</t>
        </is>
      </c>
      <c r="O28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asset register and edit workflow; invalid or conflicting actions are blocked with clear messages; saved changes appear in related screens; sensitive changes are auditable.</t>
        </is>
      </c>
      <c r="P282" s="12" t="inlineStr">
        <is>
          <t>Duplicate submission is idempotent; stale data returns a refresh/conflict message; invalid status transitions are blocked; partial failure rolls back without orphan records.</t>
        </is>
      </c>
      <c r="Q282" s="12" t="inlineStr">
        <is>
          <t>Tenant/property scope; required fields; optimistic locking; timezone-safe dates; reason mandatory for overrides; valid status transition; linked-record integrity</t>
        </is>
      </c>
      <c r="R282" s="12" t="inlineStr">
        <is>
          <t>Rooms, Inventory, Workforce</t>
        </is>
      </c>
      <c r="S282" s="12" t="inlineStr">
        <is>
          <t>GET, POST, PUT/PATCH, DELETE /api/v1/asset-register-and-edit; lookup, validation and audit endpoints; idempotency for financial/booking writes; entities: assets, maintenance_work_orders, preventive_plans</t>
        </is>
      </c>
      <c r="T282" s="12" t="inlineStr">
        <is>
          <t>Should Have</t>
        </is>
      </c>
      <c r="U282" s="12" t="inlineStr">
        <is>
          <t>Release 1.1</t>
        </is>
      </c>
      <c r="V282" s="34" t="n">
        <v>5</v>
      </c>
      <c r="W282" s="12" t="inlineStr">
        <is>
          <t>S16</t>
        </is>
      </c>
      <c r="X282" s="12" t="inlineStr">
        <is>
          <t>Backlog</t>
        </is>
      </c>
      <c r="Y282" s="13">
        <f>IF(X282="Done",1,IF(X282="QA",0.9,IF(X282="Code Review",0.75,IF(X282="In Development",0.5,IF(X282="Ready",0.1,0)))))</f>
        <v/>
      </c>
      <c r="Z282" s="12" t="n"/>
      <c r="AA282" s="12" t="inlineStr">
        <is>
          <t>TC-099-B</t>
        </is>
      </c>
      <c r="AB282" s="12" t="inlineStr">
        <is>
          <t>Approved screen design; story reviewed with Engineering Manager; dependencies, API contract, role permissions and test data identified.</t>
        </is>
      </c>
      <c r="AC282" s="12" t="inlineStr">
        <is>
          <t>Code reviewed; unit, API, UI, RBAC and integration tests pass; accessibility and responsive states verified; audit evidence captured; product owner accepts in staging.</t>
        </is>
      </c>
      <c r="AD282" s="12" t="n"/>
    </row>
    <row r="283" ht="78" customHeight="1" s="43">
      <c r="A283" s="11" t="n">
        <v>2</v>
      </c>
      <c r="B283" s="11" t="n">
        <v>279</v>
      </c>
      <c r="C283" s="12" t="inlineStr">
        <is>
          <t>US-099-03</t>
        </is>
      </c>
      <c r="D283" s="12" t="inlineStr">
        <is>
          <t>Control permissions, overrides and audit for Asset Register and Edit</t>
        </is>
      </c>
      <c r="E283" s="12" t="inlineStr">
        <is>
          <t>EPIC-13</t>
        </is>
      </c>
      <c r="F283" s="12" t="inlineStr">
        <is>
          <t>Maintenance</t>
        </is>
      </c>
      <c r="G283" s="12" t="inlineStr">
        <is>
          <t>Assets</t>
        </is>
      </c>
      <c r="H283" s="11" t="inlineStr">
        <is>
          <t>SCR-099</t>
        </is>
      </c>
      <c r="I283" s="12" t="inlineStr">
        <is>
          <t>Asset Register and Edit</t>
        </is>
      </c>
      <c r="J283" s="12" t="inlineStr">
        <is>
          <t>Security / Exceptions</t>
        </is>
      </c>
      <c r="K283" s="12" t="inlineStr">
        <is>
          <t>Engineering Manager</t>
        </is>
      </c>
      <c r="L283" s="12" t="inlineStr">
        <is>
          <t>As a department supervisor or auditor, I want sensitive actions in Asset Register and Edit to follow permissions, approval limits and audit rules, so that resort operations remain secure, compliant and traceable.</t>
        </is>
      </c>
      <c r="M283" s="12" t="inlineStr">
        <is>
          <t>Reduces fraud, privacy leakage, unauthorized overrides and unresolved operational disputes.</t>
        </is>
      </c>
      <c r="N283" s="12" t="inlineStr">
        <is>
          <t>Roles, permissions, approval hierarchy and audit service are configured; allowed and denied test users exist.</t>
        </is>
      </c>
      <c r="O28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83" s="12" t="inlineStr">
        <is>
          <t>Tampered IDs, expired sessions, approval-limit violations and cross-tenant requests are rejected; secrets and sensitive guest/payment fields are never written to logs.</t>
        </is>
      </c>
      <c r="Q283" s="12" t="inlineStr">
        <is>
          <t>Tenant/property scope; required fields; optimistic locking; timezone-safe dates; reason mandatory for overrides; valid status transition; linked-record integrity</t>
        </is>
      </c>
      <c r="R283" s="12" t="inlineStr">
        <is>
          <t>Rooms, Inventory, Workforce</t>
        </is>
      </c>
      <c r="S283" s="12" t="inlineStr">
        <is>
          <t>GET, POST, PUT/PATCH, DELETE /api/v1/asset-register-and-edit; lookup, validation and audit endpoints; idempotency for financial/booking writes; entities: assets, maintenance_work_orders, preventive_plans</t>
        </is>
      </c>
      <c r="T283" s="12" t="inlineStr">
        <is>
          <t>Should Have</t>
        </is>
      </c>
      <c r="U283" s="12" t="inlineStr">
        <is>
          <t>Release 1.1</t>
        </is>
      </c>
      <c r="V283" s="34" t="n">
        <v>3</v>
      </c>
      <c r="W283" s="12" t="inlineStr">
        <is>
          <t>S16</t>
        </is>
      </c>
      <c r="X283" s="12" t="inlineStr">
        <is>
          <t>Backlog</t>
        </is>
      </c>
      <c r="Y283" s="13">
        <f>IF(X283="Done",1,IF(X283="QA",0.9,IF(X283="Code Review",0.75,IF(X283="In Development",0.5,IF(X283="Ready",0.1,0)))))</f>
        <v/>
      </c>
      <c r="Z283" s="12" t="n"/>
      <c r="AA283" s="12" t="inlineStr">
        <is>
          <t>TC-099-C</t>
        </is>
      </c>
      <c r="AB283" s="12" t="inlineStr">
        <is>
          <t>Approved screen design; story reviewed with Engineering Manager; dependencies, API contract, role permissions and test data identified.</t>
        </is>
      </c>
      <c r="AC283" s="12" t="inlineStr">
        <is>
          <t>Code reviewed; unit, API, UI, RBAC and integration tests pass; accessibility and responsive states verified; audit evidence captured; product owner accepts in staging.</t>
        </is>
      </c>
      <c r="AD283" s="12" t="n"/>
    </row>
    <row r="284" ht="78" customHeight="1" s="43">
      <c r="A284" s="11" t="n">
        <v>2</v>
      </c>
      <c r="B284" s="11" t="n">
        <v>280</v>
      </c>
      <c r="C284" s="12" t="inlineStr">
        <is>
          <t>US-100-01</t>
        </is>
      </c>
      <c r="D284" s="12" t="inlineStr">
        <is>
          <t>View and find information in Preventive Maintenance Planner</t>
        </is>
      </c>
      <c r="E284" s="12" t="inlineStr">
        <is>
          <t>EPIC-13</t>
        </is>
      </c>
      <c r="F284" s="12" t="inlineStr">
        <is>
          <t>Maintenance</t>
        </is>
      </c>
      <c r="G284" s="12" t="inlineStr">
        <is>
          <t>Preventive Maintenance</t>
        </is>
      </c>
      <c r="H284" s="11" t="inlineStr">
        <is>
          <t>SCR-100</t>
        </is>
      </c>
      <c r="I284" s="12" t="inlineStr">
        <is>
          <t>Preventive Maintenance Planner</t>
        </is>
      </c>
      <c r="J284" s="12" t="inlineStr">
        <is>
          <t>View / Search</t>
        </is>
      </c>
      <c r="K284" s="12" t="inlineStr">
        <is>
          <t>Engineering Manager</t>
        </is>
      </c>
      <c r="L284" s="12" t="inlineStr">
        <is>
          <t>As a Engineering Manager, I want to open Preventive Maintenance Planner and find relevant records using search, filters and sorting, so that I can make accurate operational decisions.</t>
        </is>
      </c>
      <c r="M284" s="12" t="inlineStr">
        <is>
          <t>Provides timely visibility for preventive maintenance and reduces manual lookup effort.</t>
        </is>
      </c>
      <c r="N284" s="12" t="inlineStr">
        <is>
          <t>Authenticated user; active property; view permission for Maintenance; Rooms, Inventory, Workforce data available.</t>
        </is>
      </c>
      <c r="O284" s="12" t="inlineStr">
        <is>
          <t>Given I am authenticated as Engineering Manager with access to the selected property, when I open Preventive Maintenance Planner,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84" s="12" t="inlineStr">
        <is>
          <t>Cross-property data never appears; unauthorized fields are masked; invalid filters do not break the screen; unavailable services return a controlled message.</t>
        </is>
      </c>
      <c r="Q284" s="12" t="inlineStr">
        <is>
          <t>Tenant/property scope; required fields; optimistic locking; timezone-safe dates; reason mandatory for overrides; valid status transition; linked-record integrity</t>
        </is>
      </c>
      <c r="R284" s="12" t="inlineStr">
        <is>
          <t>Rooms, Inventory, Workforce</t>
        </is>
      </c>
      <c r="S284" s="12" t="inlineStr">
        <is>
          <t>GET, POST, PUT/PATCH, DELETE /api/v1/preventive-maintenance-planner; lookup, validation and audit endpoints; idempotency for financial/booking writes; entities: assets, maintenance_work_orders, preventive_plans</t>
        </is>
      </c>
      <c r="T284" s="12" t="inlineStr">
        <is>
          <t>Should Have</t>
        </is>
      </c>
      <c r="U284" s="12" t="inlineStr">
        <is>
          <t>Release 1.1</t>
        </is>
      </c>
      <c r="V284" s="34" t="n">
        <v>3</v>
      </c>
      <c r="W284" s="12" t="inlineStr">
        <is>
          <t>S16</t>
        </is>
      </c>
      <c r="X284" s="12" t="inlineStr">
        <is>
          <t>Backlog</t>
        </is>
      </c>
      <c r="Y284" s="13">
        <f>IF(X284="Done",1,IF(X284="QA",0.9,IF(X284="Code Review",0.75,IF(X284="In Development",0.5,IF(X284="Ready",0.1,0)))))</f>
        <v/>
      </c>
      <c r="Z284" s="12" t="n"/>
      <c r="AA284" s="12" t="inlineStr">
        <is>
          <t>TC-100-A</t>
        </is>
      </c>
      <c r="AB284" s="12" t="inlineStr">
        <is>
          <t>Approved screen design; story reviewed with Engineering Manager; dependencies, API contract, role permissions and test data identified.</t>
        </is>
      </c>
      <c r="AC284" s="12" t="inlineStr">
        <is>
          <t>Code reviewed; unit, API, UI, RBAC and integration tests pass; accessibility and responsive states verified; audit evidence captured; product owner accepts in staging.</t>
        </is>
      </c>
      <c r="AD284" s="12" t="n"/>
    </row>
    <row r="285" ht="78" customHeight="1" s="43">
      <c r="A285" s="11" t="n">
        <v>2</v>
      </c>
      <c r="B285" s="11" t="n">
        <v>281</v>
      </c>
      <c r="C285" s="12" t="inlineStr">
        <is>
          <t>US-100-02</t>
        </is>
      </c>
      <c r="D285" s="12" t="inlineStr">
        <is>
          <t>Complete the primary Preventive Maintenance Planner workflow</t>
        </is>
      </c>
      <c r="E285" s="12" t="inlineStr">
        <is>
          <t>EPIC-13</t>
        </is>
      </c>
      <c r="F285" s="12" t="inlineStr">
        <is>
          <t>Maintenance</t>
        </is>
      </c>
      <c r="G285" s="12" t="inlineStr">
        <is>
          <t>Preventive Maintenance</t>
        </is>
      </c>
      <c r="H285" s="11" t="inlineStr">
        <is>
          <t>SCR-100</t>
        </is>
      </c>
      <c r="I285" s="12" t="inlineStr">
        <is>
          <t>Preventive Maintenance Planner</t>
        </is>
      </c>
      <c r="J285" s="12" t="inlineStr">
        <is>
          <t>Primary Workflow</t>
        </is>
      </c>
      <c r="K285" s="12" t="inlineStr">
        <is>
          <t>Engineering Manager</t>
        </is>
      </c>
      <c r="L285" s="12" t="inlineStr">
        <is>
          <t>As a Engineering Manager, I want to view timeline, filter, create, assign, reschedule, conflict-check, cancel in Preventive Maintenance Planner, so that the preventive maintenance process is completed accurately without duplicate or inconsistent records.</t>
        </is>
      </c>
      <c r="M285" s="12" t="inlineStr">
        <is>
          <t>Enable maintenance users to manage preventive maintenance through the Preventive Maintenance Planner workflow with real-time status, validations and traceability.</t>
        </is>
      </c>
      <c r="N285" s="12" t="inlineStr">
        <is>
          <t>View access confirmed; required masters and linked records exist; Rooms, Inventory, Workforce services are available; approval limit is valid.</t>
        </is>
      </c>
      <c r="O28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preventive maintenance planner workflow; invalid or conflicting actions are blocked with clear messages; saved changes appear in related screens; sensitive changes are auditable.</t>
        </is>
      </c>
      <c r="P285" s="12" t="inlineStr">
        <is>
          <t>Duplicate submission is idempotent; stale data returns a refresh/conflict message; invalid status transitions are blocked; partial failure rolls back without orphan records.</t>
        </is>
      </c>
      <c r="Q285" s="12" t="inlineStr">
        <is>
          <t>Tenant/property scope; required fields; optimistic locking; timezone-safe dates; reason mandatory for overrides; valid status transition; linked-record integrity</t>
        </is>
      </c>
      <c r="R285" s="12" t="inlineStr">
        <is>
          <t>Rooms, Inventory, Workforce</t>
        </is>
      </c>
      <c r="S285" s="12" t="inlineStr">
        <is>
          <t>GET, POST, PUT/PATCH, DELETE /api/v1/preventive-maintenance-planner; lookup, validation and audit endpoints; idempotency for financial/booking writes; entities: assets, maintenance_work_orders, preventive_plans</t>
        </is>
      </c>
      <c r="T285" s="12" t="inlineStr">
        <is>
          <t>Should Have</t>
        </is>
      </c>
      <c r="U285" s="12" t="inlineStr">
        <is>
          <t>Release 1.1</t>
        </is>
      </c>
      <c r="V285" s="34" t="n">
        <v>5</v>
      </c>
      <c r="W285" s="12" t="inlineStr">
        <is>
          <t>S16</t>
        </is>
      </c>
      <c r="X285" s="12" t="inlineStr">
        <is>
          <t>Backlog</t>
        </is>
      </c>
      <c r="Y285" s="13">
        <f>IF(X285="Done",1,IF(X285="QA",0.9,IF(X285="Code Review",0.75,IF(X285="In Development",0.5,IF(X285="Ready",0.1,0)))))</f>
        <v/>
      </c>
      <c r="Z285" s="12" t="n"/>
      <c r="AA285" s="12" t="inlineStr">
        <is>
          <t>TC-100-B</t>
        </is>
      </c>
      <c r="AB285" s="12" t="inlineStr">
        <is>
          <t>Approved screen design; story reviewed with Engineering Manager; dependencies, API contract, role permissions and test data identified.</t>
        </is>
      </c>
      <c r="AC285" s="12" t="inlineStr">
        <is>
          <t>Code reviewed; unit, API, UI, RBAC and integration tests pass; accessibility and responsive states verified; audit evidence captured; product owner accepts in staging.</t>
        </is>
      </c>
      <c r="AD285" s="12" t="n"/>
    </row>
    <row r="286" ht="78" customHeight="1" s="43">
      <c r="A286" s="11" t="n">
        <v>2</v>
      </c>
      <c r="B286" s="11" t="n">
        <v>282</v>
      </c>
      <c r="C286" s="12" t="inlineStr">
        <is>
          <t>US-100-03</t>
        </is>
      </c>
      <c r="D286" s="12" t="inlineStr">
        <is>
          <t>Control permissions, overrides and audit for Preventive Maintenance Planner</t>
        </is>
      </c>
      <c r="E286" s="12" t="inlineStr">
        <is>
          <t>EPIC-13</t>
        </is>
      </c>
      <c r="F286" s="12" t="inlineStr">
        <is>
          <t>Maintenance</t>
        </is>
      </c>
      <c r="G286" s="12" t="inlineStr">
        <is>
          <t>Preventive Maintenance</t>
        </is>
      </c>
      <c r="H286" s="11" t="inlineStr">
        <is>
          <t>SCR-100</t>
        </is>
      </c>
      <c r="I286" s="12" t="inlineStr">
        <is>
          <t>Preventive Maintenance Planner</t>
        </is>
      </c>
      <c r="J286" s="12" t="inlineStr">
        <is>
          <t>Security / Exceptions</t>
        </is>
      </c>
      <c r="K286" s="12" t="inlineStr">
        <is>
          <t>Engineering Manager</t>
        </is>
      </c>
      <c r="L286" s="12" t="inlineStr">
        <is>
          <t>As a department supervisor or auditor, I want sensitive actions in Preventive Maintenance Planner to follow permissions, approval limits and audit rules, so that resort operations remain secure, compliant and traceable.</t>
        </is>
      </c>
      <c r="M286" s="12" t="inlineStr">
        <is>
          <t>Reduces fraud, privacy leakage, unauthorized overrides and unresolved operational disputes.</t>
        </is>
      </c>
      <c r="N286" s="12" t="inlineStr">
        <is>
          <t>Roles, permissions, approval hierarchy and audit service are configured; allowed and denied test users exist.</t>
        </is>
      </c>
      <c r="O28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86" s="12" t="inlineStr">
        <is>
          <t>Tampered IDs, expired sessions, approval-limit violations and cross-tenant requests are rejected; secrets and sensitive guest/payment fields are never written to logs.</t>
        </is>
      </c>
      <c r="Q286" s="12" t="inlineStr">
        <is>
          <t>Tenant/property scope; required fields; optimistic locking; timezone-safe dates; reason mandatory for overrides; valid status transition; linked-record integrity</t>
        </is>
      </c>
      <c r="R286" s="12" t="inlineStr">
        <is>
          <t>Rooms, Inventory, Workforce</t>
        </is>
      </c>
      <c r="S286" s="12" t="inlineStr">
        <is>
          <t>GET, POST, PUT/PATCH, DELETE /api/v1/preventive-maintenance-planner; lookup, validation and audit endpoints; idempotency for financial/booking writes; entities: assets, maintenance_work_orders, preventive_plans</t>
        </is>
      </c>
      <c r="T286" s="12" t="inlineStr">
        <is>
          <t>Should Have</t>
        </is>
      </c>
      <c r="U286" s="12" t="inlineStr">
        <is>
          <t>Release 1.1</t>
        </is>
      </c>
      <c r="V286" s="34" t="n">
        <v>3</v>
      </c>
      <c r="W286" s="12" t="inlineStr">
        <is>
          <t>S16</t>
        </is>
      </c>
      <c r="X286" s="12" t="inlineStr">
        <is>
          <t>Backlog</t>
        </is>
      </c>
      <c r="Y286" s="13">
        <f>IF(X286="Done",1,IF(X286="QA",0.9,IF(X286="Code Review",0.75,IF(X286="In Development",0.5,IF(X286="Ready",0.1,0)))))</f>
        <v/>
      </c>
      <c r="Z286" s="12" t="n"/>
      <c r="AA286" s="12" t="inlineStr">
        <is>
          <t>TC-100-C</t>
        </is>
      </c>
      <c r="AB286" s="12" t="inlineStr">
        <is>
          <t>Approved screen design; story reviewed with Engineering Manager; dependencies, API contract, role permissions and test data identified.</t>
        </is>
      </c>
      <c r="AC286" s="12" t="inlineStr">
        <is>
          <t>Code reviewed; unit, API, UI, RBAC and integration tests pass; accessibility and responsive states verified; audit evidence captured; product owner accepts in staging.</t>
        </is>
      </c>
      <c r="AD286" s="12" t="n"/>
    </row>
    <row r="287" ht="78" customHeight="1" s="43">
      <c r="A287" s="11" t="n">
        <v>2</v>
      </c>
      <c r="B287" s="11" t="n">
        <v>283</v>
      </c>
      <c r="C287" s="12" t="inlineStr">
        <is>
          <t>US-101-01</t>
        </is>
      </c>
      <c r="D287" s="12" t="inlineStr">
        <is>
          <t>View and find information in Close or Reopen Maintenance Work Order</t>
        </is>
      </c>
      <c r="E287" s="12" t="inlineStr">
        <is>
          <t>EPIC-13</t>
        </is>
      </c>
      <c r="F287" s="12" t="inlineStr">
        <is>
          <t>Maintenance</t>
        </is>
      </c>
      <c r="G287" s="12" t="inlineStr">
        <is>
          <t>Work Order Control</t>
        </is>
      </c>
      <c r="H287" s="11" t="inlineStr">
        <is>
          <t>SCR-101</t>
        </is>
      </c>
      <c r="I287" s="12" t="inlineStr">
        <is>
          <t>Close or Reopen Maintenance Work Order</t>
        </is>
      </c>
      <c r="J287" s="12" t="inlineStr">
        <is>
          <t>View / Search</t>
        </is>
      </c>
      <c r="K287" s="12" t="inlineStr">
        <is>
          <t>Engineering Manager</t>
        </is>
      </c>
      <c r="L287" s="12" t="inlineStr">
        <is>
          <t>As a Engineering Manager, I want to open Close or Reopen Maintenance Work Order and find relevant records using search, filters and sorting, so that I can make accurate operational decisions.</t>
        </is>
      </c>
      <c r="M287" s="12" t="inlineStr">
        <is>
          <t>Provides timely visibility for work order control and reduces manual lookup effort.</t>
        </is>
      </c>
      <c r="N287" s="12" t="inlineStr">
        <is>
          <t>Authenticated user; active property; view permission for Maintenance; Rooms, Inventory, Workforce data available.</t>
        </is>
      </c>
      <c r="O287" s="12" t="inlineStr">
        <is>
          <t>Given I am authenticated as Engineering Manager with access to the selected property, when I open Close or Reopen Maintenance Work Order,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87" s="12" t="inlineStr">
        <is>
          <t>Cross-property data never appears; unauthorized fields are masked; invalid filters do not break the screen; unavailable services return a controlled message.</t>
        </is>
      </c>
      <c r="Q287" s="12" t="inlineStr">
        <is>
          <t>Tenant/property scope; required fields; optimistic locking; timezone-safe dates; reason mandatory for overrides; valid status transition; linked-record integrity</t>
        </is>
      </c>
      <c r="R287" s="12" t="inlineStr">
        <is>
          <t>Rooms, Inventory, Workforce</t>
        </is>
      </c>
      <c r="S287" s="12" t="inlineStr">
        <is>
          <t>GET, POST/PATCH /api/v1/close-or-reopen-maintenance-work-order; lookup, validation and audit endpoints; idempotency for financial/booking writes; entities: assets, maintenance_work_orders, preventive_plans</t>
        </is>
      </c>
      <c r="T287" s="12" t="inlineStr">
        <is>
          <t>Should Have</t>
        </is>
      </c>
      <c r="U287" s="12" t="inlineStr">
        <is>
          <t>Release 1.1</t>
        </is>
      </c>
      <c r="V287" s="34" t="n">
        <v>3</v>
      </c>
      <c r="W287" s="12" t="inlineStr">
        <is>
          <t>S16</t>
        </is>
      </c>
      <c r="X287" s="12" t="inlineStr">
        <is>
          <t>Backlog</t>
        </is>
      </c>
      <c r="Y287" s="13">
        <f>IF(X287="Done",1,IF(X287="QA",0.9,IF(X287="Code Review",0.75,IF(X287="In Development",0.5,IF(X287="Ready",0.1,0)))))</f>
        <v/>
      </c>
      <c r="Z287" s="12" t="n"/>
      <c r="AA287" s="12" t="inlineStr">
        <is>
          <t>TC-101-A</t>
        </is>
      </c>
      <c r="AB287" s="12" t="inlineStr">
        <is>
          <t>Approved screen design; story reviewed with Engineering Manager; dependencies, API contract, role permissions and test data identified.</t>
        </is>
      </c>
      <c r="AC287" s="12" t="inlineStr">
        <is>
          <t>Code reviewed; unit, API, UI, RBAC and integration tests pass; accessibility and responsive states verified; audit evidence captured; product owner accepts in staging.</t>
        </is>
      </c>
      <c r="AD287" s="12" t="n"/>
    </row>
    <row r="288" ht="78" customHeight="1" s="43">
      <c r="A288" s="11" t="n">
        <v>2</v>
      </c>
      <c r="B288" s="11" t="n">
        <v>284</v>
      </c>
      <c r="C288" s="12" t="inlineStr">
        <is>
          <t>US-101-02</t>
        </is>
      </c>
      <c r="D288" s="12" t="inlineStr">
        <is>
          <t>Complete the primary Close or Reopen Maintenance Work Order workflow</t>
        </is>
      </c>
      <c r="E288" s="12" t="inlineStr">
        <is>
          <t>EPIC-13</t>
        </is>
      </c>
      <c r="F288" s="12" t="inlineStr">
        <is>
          <t>Maintenance</t>
        </is>
      </c>
      <c r="G288" s="12" t="inlineStr">
        <is>
          <t>Work Order Control</t>
        </is>
      </c>
      <c r="H288" s="11" t="inlineStr">
        <is>
          <t>SCR-101</t>
        </is>
      </c>
      <c r="I288" s="12" t="inlineStr">
        <is>
          <t>Close or Reopen Maintenance Work Order</t>
        </is>
      </c>
      <c r="J288" s="12" t="inlineStr">
        <is>
          <t>Primary Workflow</t>
        </is>
      </c>
      <c r="K288" s="12" t="inlineStr">
        <is>
          <t>Engineering Manager</t>
        </is>
      </c>
      <c r="L288" s="12" t="inlineStr">
        <is>
          <t>As a Engineering Manager, I want to view, validate, close, reopen with reason in Close or Reopen Maintenance Work Order, so that the work order control process is completed accurately without duplicate or inconsistent records.</t>
        </is>
      </c>
      <c r="M288" s="12" t="inlineStr">
        <is>
          <t>Enable maintenance users to manage work order control through the Close or Reopen Maintenance Work Order workflow with real-time status, validations and traceability.</t>
        </is>
      </c>
      <c r="N288" s="12" t="inlineStr">
        <is>
          <t>View access confirmed; required masters and linked records exist; Rooms, Inventory, Workforce services are available; approval limit is valid.</t>
        </is>
      </c>
      <c r="O28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close or reopen maintenance work order workflow; invalid or conflicting actions are blocked with clear messages; saved changes appear in related screens; sensitive changes are auditable.</t>
        </is>
      </c>
      <c r="P288" s="12" t="inlineStr">
        <is>
          <t>Duplicate submission is idempotent; stale data returns a refresh/conflict message; invalid status transitions are blocked; partial failure rolls back without orphan records.</t>
        </is>
      </c>
      <c r="Q288" s="12" t="inlineStr">
        <is>
          <t>Tenant/property scope; required fields; optimistic locking; timezone-safe dates; reason mandatory for overrides; valid status transition; linked-record integrity</t>
        </is>
      </c>
      <c r="R288" s="12" t="inlineStr">
        <is>
          <t>Rooms, Inventory, Workforce</t>
        </is>
      </c>
      <c r="S288" s="12" t="inlineStr">
        <is>
          <t>GET, POST/PATCH /api/v1/close-or-reopen-maintenance-work-order; lookup, validation and audit endpoints; idempotency for financial/booking writes; entities: assets, maintenance_work_orders, preventive_plans</t>
        </is>
      </c>
      <c r="T288" s="12" t="inlineStr">
        <is>
          <t>Should Have</t>
        </is>
      </c>
      <c r="U288" s="12" t="inlineStr">
        <is>
          <t>Release 1.1</t>
        </is>
      </c>
      <c r="V288" s="34" t="n">
        <v>5</v>
      </c>
      <c r="W288" s="12" t="inlineStr">
        <is>
          <t>S16</t>
        </is>
      </c>
      <c r="X288" s="12" t="inlineStr">
        <is>
          <t>Backlog</t>
        </is>
      </c>
      <c r="Y288" s="13">
        <f>IF(X288="Done",1,IF(X288="QA",0.9,IF(X288="Code Review",0.75,IF(X288="In Development",0.5,IF(X288="Ready",0.1,0)))))</f>
        <v/>
      </c>
      <c r="Z288" s="12" t="n"/>
      <c r="AA288" s="12" t="inlineStr">
        <is>
          <t>TC-101-B</t>
        </is>
      </c>
      <c r="AB288" s="12" t="inlineStr">
        <is>
          <t>Approved screen design; story reviewed with Engineering Manager; dependencies, API contract, role permissions and test data identified.</t>
        </is>
      </c>
      <c r="AC288" s="12" t="inlineStr">
        <is>
          <t>Code reviewed; unit, API, UI, RBAC and integration tests pass; accessibility and responsive states verified; audit evidence captured; product owner accepts in staging.</t>
        </is>
      </c>
      <c r="AD288" s="12" t="n"/>
    </row>
    <row r="289" ht="78" customHeight="1" s="43">
      <c r="A289" s="11" t="n">
        <v>2</v>
      </c>
      <c r="B289" s="11" t="n">
        <v>285</v>
      </c>
      <c r="C289" s="12" t="inlineStr">
        <is>
          <t>US-101-03</t>
        </is>
      </c>
      <c r="D289" s="12" t="inlineStr">
        <is>
          <t>Control permissions, overrides and audit for Close or Reopen Maintenance Work Order</t>
        </is>
      </c>
      <c r="E289" s="12" t="inlineStr">
        <is>
          <t>EPIC-13</t>
        </is>
      </c>
      <c r="F289" s="12" t="inlineStr">
        <is>
          <t>Maintenance</t>
        </is>
      </c>
      <c r="G289" s="12" t="inlineStr">
        <is>
          <t>Work Order Control</t>
        </is>
      </c>
      <c r="H289" s="11" t="inlineStr">
        <is>
          <t>SCR-101</t>
        </is>
      </c>
      <c r="I289" s="12" t="inlineStr">
        <is>
          <t>Close or Reopen Maintenance Work Order</t>
        </is>
      </c>
      <c r="J289" s="12" t="inlineStr">
        <is>
          <t>Security / Exceptions</t>
        </is>
      </c>
      <c r="K289" s="12" t="inlineStr">
        <is>
          <t>Engineering Manager</t>
        </is>
      </c>
      <c r="L289" s="12" t="inlineStr">
        <is>
          <t>As a department supervisor or auditor, I want sensitive actions in Close or Reopen Maintenance Work Order to follow permissions, approval limits and audit rules, so that resort operations remain secure, compliant and traceable.</t>
        </is>
      </c>
      <c r="M289" s="12" t="inlineStr">
        <is>
          <t>Reduces fraud, privacy leakage, unauthorized overrides and unresolved operational disputes.</t>
        </is>
      </c>
      <c r="N289" s="12" t="inlineStr">
        <is>
          <t>Roles, permissions, approval hierarchy and audit service are configured; allowed and denied test users exist.</t>
        </is>
      </c>
      <c r="O28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89" s="12" t="inlineStr">
        <is>
          <t>Tampered IDs, expired sessions, approval-limit violations and cross-tenant requests are rejected; secrets and sensitive guest/payment fields are never written to logs.</t>
        </is>
      </c>
      <c r="Q289" s="12" t="inlineStr">
        <is>
          <t>Tenant/property scope; required fields; optimistic locking; timezone-safe dates; reason mandatory for overrides; valid status transition; linked-record integrity</t>
        </is>
      </c>
      <c r="R289" s="12" t="inlineStr">
        <is>
          <t>Rooms, Inventory, Workforce</t>
        </is>
      </c>
      <c r="S289" s="12" t="inlineStr">
        <is>
          <t>GET, POST/PATCH /api/v1/close-or-reopen-maintenance-work-order; lookup, validation and audit endpoints; idempotency for financial/booking writes; entities: assets, maintenance_work_orders, preventive_plans</t>
        </is>
      </c>
      <c r="T289" s="12" t="inlineStr">
        <is>
          <t>Should Have</t>
        </is>
      </c>
      <c r="U289" s="12" t="inlineStr">
        <is>
          <t>Release 1.1</t>
        </is>
      </c>
      <c r="V289" s="34" t="n">
        <v>3</v>
      </c>
      <c r="W289" s="12" t="inlineStr">
        <is>
          <t>S16</t>
        </is>
      </c>
      <c r="X289" s="12" t="inlineStr">
        <is>
          <t>Backlog</t>
        </is>
      </c>
      <c r="Y289" s="13">
        <f>IF(X289="Done",1,IF(X289="QA",0.9,IF(X289="Code Review",0.75,IF(X289="In Development",0.5,IF(X289="Ready",0.1,0)))))</f>
        <v/>
      </c>
      <c r="Z289" s="12" t="n"/>
      <c r="AA289" s="12" t="inlineStr">
        <is>
          <t>TC-101-C</t>
        </is>
      </c>
      <c r="AB289" s="12" t="inlineStr">
        <is>
          <t>Approved screen design; story reviewed with Engineering Manager; dependencies, API contract, role permissions and test data identified.</t>
        </is>
      </c>
      <c r="AC289" s="12" t="inlineStr">
        <is>
          <t>Code reviewed; unit, API, UI, RBAC and integration tests pass; accessibility and responsive states verified; audit evidence captured; product owner accepts in staging.</t>
        </is>
      </c>
      <c r="AD289" s="12" t="n"/>
    </row>
    <row r="290" ht="78" customHeight="1" s="43">
      <c r="A290" s="11" t="n">
        <v>3</v>
      </c>
      <c r="B290" s="11" t="n">
        <v>286</v>
      </c>
      <c r="C290" s="12" t="inlineStr">
        <is>
          <t>US-015-01</t>
        </is>
      </c>
      <c r="D290" s="12" t="inlineStr">
        <is>
          <t>View and find information in Activities and Experiences</t>
        </is>
      </c>
      <c r="E290" s="12" t="inlineStr">
        <is>
          <t>EPIC-09</t>
        </is>
      </c>
      <c r="F290" s="12" t="inlineStr">
        <is>
          <t>Activities</t>
        </is>
      </c>
      <c r="G290" s="12" t="inlineStr">
        <is>
          <t>Experience Operations</t>
        </is>
      </c>
      <c r="H290" s="11" t="inlineStr">
        <is>
          <t>SCR-015</t>
        </is>
      </c>
      <c r="I290" s="12" t="inlineStr">
        <is>
          <t>Activities and Experiences</t>
        </is>
      </c>
      <c r="J290" s="12" t="inlineStr">
        <is>
          <t>View / Search</t>
        </is>
      </c>
      <c r="K290" s="12" t="inlineStr">
        <is>
          <t>Activities Manager</t>
        </is>
      </c>
      <c r="L290" s="12" t="inlineStr">
        <is>
          <t>As a Activities Manager, I want to open Activities and Experiences and find relevant records using search, filters and sorting, so that I can make accurate operational decisions.</t>
        </is>
      </c>
      <c r="M290" s="12" t="inlineStr">
        <is>
          <t>Provides timely visibility for experience operations and reduces manual lookup effort.</t>
        </is>
      </c>
      <c r="N290" s="12" t="inlineStr">
        <is>
          <t>Authenticated user; active property; view permission for Activities; Guests, Resources, Finance data available.</t>
        </is>
      </c>
      <c r="O290" s="12" t="inlineStr">
        <is>
          <t>Given I am authenticated as Activities Manager with access to the selected property, when I open Activities and Experiences,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90" s="12" t="inlineStr">
        <is>
          <t>Cross-property data never appears; unauthorized fields are masked; invalid filters do not break the screen; unavailable services return a controlled message.</t>
        </is>
      </c>
      <c r="Q290" s="12" t="inlineStr">
        <is>
          <t>Tenant/property scope; required fields; optimistic locking; timezone-safe dates; reason mandatory for overrides; availability and overlap check; status-transition rules; cancellation policy</t>
        </is>
      </c>
      <c r="R290" s="12" t="inlineStr">
        <is>
          <t>Guests, Resources, Finance</t>
        </is>
      </c>
      <c r="S290" s="12" t="inlineStr">
        <is>
          <t>GET, POST, PUT/PATCH, DELETE /api/v1/activities-and-experiences; lookup, validation and audit endpoints; idempotency for financial/booking writes; entities: activities, activity_slots, activity_bookings</t>
        </is>
      </c>
      <c r="T290" s="12" t="inlineStr">
        <is>
          <t>Could Have</t>
        </is>
      </c>
      <c r="U290" s="12" t="inlineStr">
        <is>
          <t>Release 1.2</t>
        </is>
      </c>
      <c r="V290" s="34" t="n">
        <v>3</v>
      </c>
      <c r="W290" s="12" t="inlineStr">
        <is>
          <t>S17-S19</t>
        </is>
      </c>
      <c r="X290" s="12" t="inlineStr">
        <is>
          <t>Backlog</t>
        </is>
      </c>
      <c r="Y290" s="13">
        <f>IF(X290="Done",1,IF(X290="QA",0.9,IF(X290="Code Review",0.75,IF(X290="In Development",0.5,IF(X290="Ready",0.1,0)))))</f>
        <v/>
      </c>
      <c r="Z290" s="12" t="n"/>
      <c r="AA290" s="12" t="inlineStr">
        <is>
          <t>TC-015-A</t>
        </is>
      </c>
      <c r="AB290" s="12" t="inlineStr">
        <is>
          <t>Approved screen design; story reviewed with Activities Manager; dependencies, API contract, role permissions and test data identified.</t>
        </is>
      </c>
      <c r="AC290" s="12" t="inlineStr">
        <is>
          <t>Code reviewed; unit, API, UI, RBAC and integration tests pass; accessibility and responsive states verified; audit evidence captured; product owner accepts in staging.</t>
        </is>
      </c>
      <c r="AD290" s="12" t="n"/>
    </row>
    <row r="291" ht="78" customHeight="1" s="43">
      <c r="A291" s="11" t="n">
        <v>3</v>
      </c>
      <c r="B291" s="11" t="n">
        <v>287</v>
      </c>
      <c r="C291" s="12" t="inlineStr">
        <is>
          <t>US-015-02</t>
        </is>
      </c>
      <c r="D291" s="12" t="inlineStr">
        <is>
          <t>Complete the primary Activities and Experiences workflow</t>
        </is>
      </c>
      <c r="E291" s="12" t="inlineStr">
        <is>
          <t>EPIC-09</t>
        </is>
      </c>
      <c r="F291" s="12" t="inlineStr">
        <is>
          <t>Activities</t>
        </is>
      </c>
      <c r="G291" s="12" t="inlineStr">
        <is>
          <t>Experience Operations</t>
        </is>
      </c>
      <c r="H291" s="11" t="inlineStr">
        <is>
          <t>SCR-015</t>
        </is>
      </c>
      <c r="I291" s="12" t="inlineStr">
        <is>
          <t>Activities and Experiences</t>
        </is>
      </c>
      <c r="J291" s="12" t="inlineStr">
        <is>
          <t>Primary Workflow</t>
        </is>
      </c>
      <c r="K291" s="12" t="inlineStr">
        <is>
          <t>Activities Manager</t>
        </is>
      </c>
      <c r="L291" s="12" t="inlineStr">
        <is>
          <t>As a Activities Manager, I want to list, search, filter, view, create, edit, cancel/delete under policy, export in Activities and Experiences, so that the experience operations process is completed accurately without duplicate or inconsistent records.</t>
        </is>
      </c>
      <c r="M291" s="12" t="inlineStr">
        <is>
          <t>Enable activities users to manage experience operations through the Activities and Experiences workflow with real-time status, validations and traceability.</t>
        </is>
      </c>
      <c r="N291" s="12" t="inlineStr">
        <is>
          <t>View access confirmed; required masters and linked records exist; Guests, Resources, Finance services are available; approval limit is valid.</t>
        </is>
      </c>
      <c r="O29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activities and experiences workflow; invalid or conflicting actions are blocked with clear messages; saved changes appear in related screens; sensitive changes are auditable.</t>
        </is>
      </c>
      <c r="P291" s="12" t="inlineStr">
        <is>
          <t>Duplicate submission is idempotent; stale data returns a refresh/conflict message; invalid status transitions are blocked; partial failure rolls back without orphan records.</t>
        </is>
      </c>
      <c r="Q291" s="12" t="inlineStr">
        <is>
          <t>Tenant/property scope; required fields; optimistic locking; timezone-safe dates; reason mandatory for overrides; availability and overlap check; status-transition rules; cancellation policy</t>
        </is>
      </c>
      <c r="R291" s="12" t="inlineStr">
        <is>
          <t>Guests, Resources, Finance</t>
        </is>
      </c>
      <c r="S291" s="12" t="inlineStr">
        <is>
          <t>GET, POST, PUT/PATCH, DELETE /api/v1/activities-and-experiences; lookup, validation and audit endpoints; idempotency for financial/booking writes; entities: activities, activity_slots, activity_bookings</t>
        </is>
      </c>
      <c r="T291" s="12" t="inlineStr">
        <is>
          <t>Could Have</t>
        </is>
      </c>
      <c r="U291" s="12" t="inlineStr">
        <is>
          <t>Release 1.2</t>
        </is>
      </c>
      <c r="V291" s="34" t="n">
        <v>5</v>
      </c>
      <c r="W291" s="12" t="inlineStr">
        <is>
          <t>S17-S19</t>
        </is>
      </c>
      <c r="X291" s="12" t="inlineStr">
        <is>
          <t>Backlog</t>
        </is>
      </c>
      <c r="Y291" s="13">
        <f>IF(X291="Done",1,IF(X291="QA",0.9,IF(X291="Code Review",0.75,IF(X291="In Development",0.5,IF(X291="Ready",0.1,0)))))</f>
        <v/>
      </c>
      <c r="Z291" s="12" t="n"/>
      <c r="AA291" s="12" t="inlineStr">
        <is>
          <t>TC-015-B</t>
        </is>
      </c>
      <c r="AB291" s="12" t="inlineStr">
        <is>
          <t>Approved screen design; story reviewed with Activities Manager; dependencies, API contract, role permissions and test data identified.</t>
        </is>
      </c>
      <c r="AC291" s="12" t="inlineStr">
        <is>
          <t>Code reviewed; unit, API, UI, RBAC and integration tests pass; accessibility and responsive states verified; audit evidence captured; product owner accepts in staging.</t>
        </is>
      </c>
      <c r="AD291" s="12" t="n"/>
    </row>
    <row r="292" ht="78" customHeight="1" s="43">
      <c r="A292" s="11" t="n">
        <v>3</v>
      </c>
      <c r="B292" s="11" t="n">
        <v>288</v>
      </c>
      <c r="C292" s="12" t="inlineStr">
        <is>
          <t>US-015-03</t>
        </is>
      </c>
      <c r="D292" s="12" t="inlineStr">
        <is>
          <t>Control permissions, overrides and audit for Activities and Experiences</t>
        </is>
      </c>
      <c r="E292" s="12" t="inlineStr">
        <is>
          <t>EPIC-09</t>
        </is>
      </c>
      <c r="F292" s="12" t="inlineStr">
        <is>
          <t>Activities</t>
        </is>
      </c>
      <c r="G292" s="12" t="inlineStr">
        <is>
          <t>Experience Operations</t>
        </is>
      </c>
      <c r="H292" s="11" t="inlineStr">
        <is>
          <t>SCR-015</t>
        </is>
      </c>
      <c r="I292" s="12" t="inlineStr">
        <is>
          <t>Activities and Experiences</t>
        </is>
      </c>
      <c r="J292" s="12" t="inlineStr">
        <is>
          <t>Security / Exceptions</t>
        </is>
      </c>
      <c r="K292" s="12" t="inlineStr">
        <is>
          <t>Activities Manager</t>
        </is>
      </c>
      <c r="L292" s="12" t="inlineStr">
        <is>
          <t>As a department supervisor or auditor, I want sensitive actions in Activities and Experiences to follow permissions, approval limits and audit rules, so that resort operations remain secure, compliant and traceable.</t>
        </is>
      </c>
      <c r="M292" s="12" t="inlineStr">
        <is>
          <t>Reduces fraud, privacy leakage, unauthorized overrides and unresolved operational disputes.</t>
        </is>
      </c>
      <c r="N292" s="12" t="inlineStr">
        <is>
          <t>Roles, permissions, approval hierarchy and audit service are configured; allowed and denied test users exist.</t>
        </is>
      </c>
      <c r="O29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92" s="12" t="inlineStr">
        <is>
          <t>Tampered IDs, expired sessions, approval-limit violations and cross-tenant requests are rejected; secrets and sensitive guest/payment fields are never written to logs.</t>
        </is>
      </c>
      <c r="Q292" s="12" t="inlineStr">
        <is>
          <t>Tenant/property scope; required fields; optimistic locking; timezone-safe dates; reason mandatory for overrides; availability and overlap check; status-transition rules; cancellation policy</t>
        </is>
      </c>
      <c r="R292" s="12" t="inlineStr">
        <is>
          <t>Guests, Resources, Finance</t>
        </is>
      </c>
      <c r="S292" s="12" t="inlineStr">
        <is>
          <t>GET, POST, PUT/PATCH, DELETE /api/v1/activities-and-experiences; lookup, validation and audit endpoints; idempotency for financial/booking writes; entities: activities, activity_slots, activity_bookings</t>
        </is>
      </c>
      <c r="T292" s="12" t="inlineStr">
        <is>
          <t>Could Have</t>
        </is>
      </c>
      <c r="U292" s="12" t="inlineStr">
        <is>
          <t>Release 1.2</t>
        </is>
      </c>
      <c r="V292" s="34" t="n">
        <v>3</v>
      </c>
      <c r="W292" s="12" t="inlineStr">
        <is>
          <t>S17-S19</t>
        </is>
      </c>
      <c r="X292" s="12" t="inlineStr">
        <is>
          <t>Backlog</t>
        </is>
      </c>
      <c r="Y292" s="13">
        <f>IF(X292="Done",1,IF(X292="QA",0.9,IF(X292="Code Review",0.75,IF(X292="In Development",0.5,IF(X292="Ready",0.1,0)))))</f>
        <v/>
      </c>
      <c r="Z292" s="12" t="n"/>
      <c r="AA292" s="12" t="inlineStr">
        <is>
          <t>TC-015-C</t>
        </is>
      </c>
      <c r="AB292" s="12" t="inlineStr">
        <is>
          <t>Approved screen design; story reviewed with Activities Manager; dependencies, API contract, role permissions and test data identified.</t>
        </is>
      </c>
      <c r="AC292" s="12" t="inlineStr">
        <is>
          <t>Code reviewed; unit, API, UI, RBAC and integration tests pass; accessibility and responsive states verified; audit evidence captured; product owner accepts in staging.</t>
        </is>
      </c>
      <c r="AD292" s="12" t="n"/>
    </row>
    <row r="293" ht="78" customHeight="1" s="43">
      <c r="A293" s="11" t="n">
        <v>3</v>
      </c>
      <c r="B293" s="11" t="n">
        <v>289</v>
      </c>
      <c r="C293" s="12" t="inlineStr">
        <is>
          <t>US-016-01</t>
        </is>
      </c>
      <c r="D293" s="12" t="inlineStr">
        <is>
          <t>View and find information in Spa Scheduling</t>
        </is>
      </c>
      <c r="E293" s="12" t="inlineStr">
        <is>
          <t>EPIC-10</t>
        </is>
      </c>
      <c r="F293" s="12" t="inlineStr">
        <is>
          <t>Spa</t>
        </is>
      </c>
      <c r="G293" s="12" t="inlineStr">
        <is>
          <t>Appointment Operations</t>
        </is>
      </c>
      <c r="H293" s="11" t="inlineStr">
        <is>
          <t>SCR-016</t>
        </is>
      </c>
      <c r="I293" s="12" t="inlineStr">
        <is>
          <t>Spa Scheduling</t>
        </is>
      </c>
      <c r="J293" s="12" t="inlineStr">
        <is>
          <t>View / Search</t>
        </is>
      </c>
      <c r="K293" s="12" t="inlineStr">
        <is>
          <t>Spa Manager</t>
        </is>
      </c>
      <c r="L293" s="12" t="inlineStr">
        <is>
          <t>As a Spa Manager, I want to open Spa Scheduling and find relevant records using search, filters and sorting, so that I can make accurate operational decisions.</t>
        </is>
      </c>
      <c r="M293" s="12" t="inlineStr">
        <is>
          <t>Provides timely visibility for appointment operations and reduces manual lookup effort.</t>
        </is>
      </c>
      <c r="N293" s="12" t="inlineStr">
        <is>
          <t>Authenticated user; active property; view permission for Spa; Guests, Workforce, Finance data available.</t>
        </is>
      </c>
      <c r="O293" s="12" t="inlineStr">
        <is>
          <t>Given I am authenticated as Spa Manager with access to the selected property, when I open Spa Scheduling,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93" s="12" t="inlineStr">
        <is>
          <t>Cross-property data never appears; unauthorized fields are masked; invalid filters do not break the screen; unavailable services return a controlled message.</t>
        </is>
      </c>
      <c r="Q293" s="12" t="inlineStr">
        <is>
          <t>Tenant/property scope; required fields; optimistic locking; timezone-safe dates; reason mandatory for overrides; availability and overlap check; status-transition rules; cancellation policy</t>
        </is>
      </c>
      <c r="R293" s="12" t="inlineStr">
        <is>
          <t>Guests, Workforce, Finance</t>
        </is>
      </c>
      <c r="S293" s="12" t="inlineStr">
        <is>
          <t>GET, POST, PUT/PATCH, DELETE /api/v1/spa-scheduling; lookup, validation and audit endpoints; idempotency for financial/booking writes; entities: treatments, spa_resources, spa_appointments</t>
        </is>
      </c>
      <c r="T293" s="12" t="inlineStr">
        <is>
          <t>Could Have</t>
        </is>
      </c>
      <c r="U293" s="12" t="inlineStr">
        <is>
          <t>Release 1.2</t>
        </is>
      </c>
      <c r="V293" s="34" t="n">
        <v>3</v>
      </c>
      <c r="W293" s="12" t="inlineStr">
        <is>
          <t>S17-S19</t>
        </is>
      </c>
      <c r="X293" s="12" t="inlineStr">
        <is>
          <t>Backlog</t>
        </is>
      </c>
      <c r="Y293" s="13">
        <f>IF(X293="Done",1,IF(X293="QA",0.9,IF(X293="Code Review",0.75,IF(X293="In Development",0.5,IF(X293="Ready",0.1,0)))))</f>
        <v/>
      </c>
      <c r="Z293" s="12" t="n"/>
      <c r="AA293" s="12" t="inlineStr">
        <is>
          <t>TC-016-A</t>
        </is>
      </c>
      <c r="AB293" s="12" t="inlineStr">
        <is>
          <t>Approved screen design; story reviewed with Spa Manager; dependencies, API contract, role permissions and test data identified.</t>
        </is>
      </c>
      <c r="AC293" s="12" t="inlineStr">
        <is>
          <t>Code reviewed; unit, API, UI, RBAC and integration tests pass; accessibility and responsive states verified; audit evidence captured; product owner accepts in staging.</t>
        </is>
      </c>
      <c r="AD293" s="12" t="n"/>
    </row>
    <row r="294" ht="78" customHeight="1" s="43">
      <c r="A294" s="11" t="n">
        <v>3</v>
      </c>
      <c r="B294" s="11" t="n">
        <v>290</v>
      </c>
      <c r="C294" s="12" t="inlineStr">
        <is>
          <t>US-016-02</t>
        </is>
      </c>
      <c r="D294" s="12" t="inlineStr">
        <is>
          <t>Complete the primary Spa Scheduling workflow</t>
        </is>
      </c>
      <c r="E294" s="12" t="inlineStr">
        <is>
          <t>EPIC-10</t>
        </is>
      </c>
      <c r="F294" s="12" t="inlineStr">
        <is>
          <t>Spa</t>
        </is>
      </c>
      <c r="G294" s="12" t="inlineStr">
        <is>
          <t>Appointment Operations</t>
        </is>
      </c>
      <c r="H294" s="11" t="inlineStr">
        <is>
          <t>SCR-016</t>
        </is>
      </c>
      <c r="I294" s="12" t="inlineStr">
        <is>
          <t>Spa Scheduling</t>
        </is>
      </c>
      <c r="J294" s="12" t="inlineStr">
        <is>
          <t>Primary Workflow</t>
        </is>
      </c>
      <c r="K294" s="12" t="inlineStr">
        <is>
          <t>Spa Manager</t>
        </is>
      </c>
      <c r="L294" s="12" t="inlineStr">
        <is>
          <t>As a Spa Manager, I want to list, search, filter, view, create, edit, cancel/delete under policy, export in Spa Scheduling, so that the appointment operations process is completed accurately without duplicate or inconsistent records.</t>
        </is>
      </c>
      <c r="M294" s="12" t="inlineStr">
        <is>
          <t>Enable spa users to manage appointment operations through the Spa Scheduling workflow with real-time status, validations and traceability.</t>
        </is>
      </c>
      <c r="N294" s="12" t="inlineStr">
        <is>
          <t>View access confirmed; required masters and linked records exist; Guests, Workforce, Finance services are available; approval limit is valid.</t>
        </is>
      </c>
      <c r="O29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spa scheduling workflow; invalid or conflicting actions are blocked with clear messages; saved changes appear in related screens; sensitive changes are auditable.</t>
        </is>
      </c>
      <c r="P294" s="12" t="inlineStr">
        <is>
          <t>Duplicate submission is idempotent; stale data returns a refresh/conflict message; invalid status transitions are blocked; partial failure rolls back without orphan records.</t>
        </is>
      </c>
      <c r="Q294" s="12" t="inlineStr">
        <is>
          <t>Tenant/property scope; required fields; optimistic locking; timezone-safe dates; reason mandatory for overrides; availability and overlap check; status-transition rules; cancellation policy</t>
        </is>
      </c>
      <c r="R294" s="12" t="inlineStr">
        <is>
          <t>Guests, Workforce, Finance</t>
        </is>
      </c>
      <c r="S294" s="12" t="inlineStr">
        <is>
          <t>GET, POST, PUT/PATCH, DELETE /api/v1/spa-scheduling; lookup, validation and audit endpoints; idempotency for financial/booking writes; entities: treatments, spa_resources, spa_appointments</t>
        </is>
      </c>
      <c r="T294" s="12" t="inlineStr">
        <is>
          <t>Could Have</t>
        </is>
      </c>
      <c r="U294" s="12" t="inlineStr">
        <is>
          <t>Release 1.2</t>
        </is>
      </c>
      <c r="V294" s="34" t="n">
        <v>5</v>
      </c>
      <c r="W294" s="12" t="inlineStr">
        <is>
          <t>S17-S19</t>
        </is>
      </c>
      <c r="X294" s="12" t="inlineStr">
        <is>
          <t>Backlog</t>
        </is>
      </c>
      <c r="Y294" s="13">
        <f>IF(X294="Done",1,IF(X294="QA",0.9,IF(X294="Code Review",0.75,IF(X294="In Development",0.5,IF(X294="Ready",0.1,0)))))</f>
        <v/>
      </c>
      <c r="Z294" s="12" t="n"/>
      <c r="AA294" s="12" t="inlineStr">
        <is>
          <t>TC-016-B</t>
        </is>
      </c>
      <c r="AB294" s="12" t="inlineStr">
        <is>
          <t>Approved screen design; story reviewed with Spa Manager; dependencies, API contract, role permissions and test data identified.</t>
        </is>
      </c>
      <c r="AC294" s="12" t="inlineStr">
        <is>
          <t>Code reviewed; unit, API, UI, RBAC and integration tests pass; accessibility and responsive states verified; audit evidence captured; product owner accepts in staging.</t>
        </is>
      </c>
      <c r="AD294" s="12" t="n"/>
    </row>
    <row r="295" ht="78" customHeight="1" s="43">
      <c r="A295" s="11" t="n">
        <v>3</v>
      </c>
      <c r="B295" s="11" t="n">
        <v>291</v>
      </c>
      <c r="C295" s="12" t="inlineStr">
        <is>
          <t>US-016-03</t>
        </is>
      </c>
      <c r="D295" s="12" t="inlineStr">
        <is>
          <t>Control permissions, overrides and audit for Spa Scheduling</t>
        </is>
      </c>
      <c r="E295" s="12" t="inlineStr">
        <is>
          <t>EPIC-10</t>
        </is>
      </c>
      <c r="F295" s="12" t="inlineStr">
        <is>
          <t>Spa</t>
        </is>
      </c>
      <c r="G295" s="12" t="inlineStr">
        <is>
          <t>Appointment Operations</t>
        </is>
      </c>
      <c r="H295" s="11" t="inlineStr">
        <is>
          <t>SCR-016</t>
        </is>
      </c>
      <c r="I295" s="12" t="inlineStr">
        <is>
          <t>Spa Scheduling</t>
        </is>
      </c>
      <c r="J295" s="12" t="inlineStr">
        <is>
          <t>Security / Exceptions</t>
        </is>
      </c>
      <c r="K295" s="12" t="inlineStr">
        <is>
          <t>Spa Manager</t>
        </is>
      </c>
      <c r="L295" s="12" t="inlineStr">
        <is>
          <t>As a department supervisor or auditor, I want sensitive actions in Spa Scheduling to follow permissions, approval limits and audit rules, so that resort operations remain secure, compliant and traceable.</t>
        </is>
      </c>
      <c r="M295" s="12" t="inlineStr">
        <is>
          <t>Reduces fraud, privacy leakage, unauthorized overrides and unresolved operational disputes.</t>
        </is>
      </c>
      <c r="N295" s="12" t="inlineStr">
        <is>
          <t>Roles, permissions, approval hierarchy and audit service are configured; allowed and denied test users exist.</t>
        </is>
      </c>
      <c r="O29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95" s="12" t="inlineStr">
        <is>
          <t>Tampered IDs, expired sessions, approval-limit violations and cross-tenant requests are rejected; secrets and sensitive guest/payment fields are never written to logs.</t>
        </is>
      </c>
      <c r="Q295" s="12" t="inlineStr">
        <is>
          <t>Tenant/property scope; required fields; optimistic locking; timezone-safe dates; reason mandatory for overrides; availability and overlap check; status-transition rules; cancellation policy</t>
        </is>
      </c>
      <c r="R295" s="12" t="inlineStr">
        <is>
          <t>Guests, Workforce, Finance</t>
        </is>
      </c>
      <c r="S295" s="12" t="inlineStr">
        <is>
          <t>GET, POST, PUT/PATCH, DELETE /api/v1/spa-scheduling; lookup, validation and audit endpoints; idempotency for financial/booking writes; entities: treatments, spa_resources, spa_appointments</t>
        </is>
      </c>
      <c r="T295" s="12" t="inlineStr">
        <is>
          <t>Could Have</t>
        </is>
      </c>
      <c r="U295" s="12" t="inlineStr">
        <is>
          <t>Release 1.2</t>
        </is>
      </c>
      <c r="V295" s="34" t="n">
        <v>3</v>
      </c>
      <c r="W295" s="12" t="inlineStr">
        <is>
          <t>S17-S19</t>
        </is>
      </c>
      <c r="X295" s="12" t="inlineStr">
        <is>
          <t>Backlog</t>
        </is>
      </c>
      <c r="Y295" s="13">
        <f>IF(X295="Done",1,IF(X295="QA",0.9,IF(X295="Code Review",0.75,IF(X295="In Development",0.5,IF(X295="Ready",0.1,0)))))</f>
        <v/>
      </c>
      <c r="Z295" s="12" t="n"/>
      <c r="AA295" s="12" t="inlineStr">
        <is>
          <t>TC-016-C</t>
        </is>
      </c>
      <c r="AB295" s="12" t="inlineStr">
        <is>
          <t>Approved screen design; story reviewed with Spa Manager; dependencies, API contract, role permissions and test data identified.</t>
        </is>
      </c>
      <c r="AC295" s="12" t="inlineStr">
        <is>
          <t>Code reviewed; unit, API, UI, RBAC and integration tests pass; accessibility and responsive states verified; audit evidence captured; product owner accepts in staging.</t>
        </is>
      </c>
      <c r="AD295" s="12" t="n"/>
    </row>
    <row r="296" ht="78" customHeight="1" s="43">
      <c r="A296" s="11" t="n">
        <v>3</v>
      </c>
      <c r="B296" s="11" t="n">
        <v>292</v>
      </c>
      <c r="C296" s="12" t="inlineStr">
        <is>
          <t>US-017-01</t>
        </is>
      </c>
      <c r="D296" s="12" t="inlineStr">
        <is>
          <t>View and find information in Events and Banquets</t>
        </is>
      </c>
      <c r="E296" s="12" t="inlineStr">
        <is>
          <t>EPIC-11</t>
        </is>
      </c>
      <c r="F296" s="12" t="inlineStr">
        <is>
          <t>Events &amp; Banquets</t>
        </is>
      </c>
      <c r="G296" s="12" t="inlineStr">
        <is>
          <t>Event Operations</t>
        </is>
      </c>
      <c r="H296" s="11" t="inlineStr">
        <is>
          <t>SCR-017</t>
        </is>
      </c>
      <c r="I296" s="12" t="inlineStr">
        <is>
          <t>Events and Banquets</t>
        </is>
      </c>
      <c r="J296" s="12" t="inlineStr">
        <is>
          <t>View / Search</t>
        </is>
      </c>
      <c r="K296" s="12" t="inlineStr">
        <is>
          <t>Sales</t>
        </is>
      </c>
      <c r="L296" s="12" t="inlineStr">
        <is>
          <t>As a Sales, I want to open Events and Banquets and find relevant records using search, filters and sorting, so that I can make accurate operational decisions.</t>
        </is>
      </c>
      <c r="M296" s="12" t="inlineStr">
        <is>
          <t>Provides timely visibility for event operations and reduces manual lookup effort.</t>
        </is>
      </c>
      <c r="N296" s="12" t="inlineStr">
        <is>
          <t>Authenticated user; active property; view permission for Events &amp; Banquets; Guests, Inventory, Finance data available.</t>
        </is>
      </c>
      <c r="O296" s="12" t="inlineStr">
        <is>
          <t>Given I am authenticated as Sales with access to the selected property, when I open Events and Banquets,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96" s="12" t="inlineStr">
        <is>
          <t>Cross-property data never appears; unauthorized fields are masked; invalid filters do not break the screen; unavailable services return a controlled message.</t>
        </is>
      </c>
      <c r="Q296" s="12" t="inlineStr">
        <is>
          <t>Tenant/property scope; required fields; optimistic locking; timezone-safe dates; reason mandatory for overrides; availability and overlap check; status-transition rules; cancellation policy</t>
        </is>
      </c>
      <c r="R296" s="12" t="inlineStr">
        <is>
          <t>Guests, Inventory, Finance</t>
        </is>
      </c>
      <c r="S296" s="12" t="inlineStr">
        <is>
          <t>GET, POST, PUT/PATCH, DELETE /api/v1/events-and-banquets; lookup, validation and audit endpoints; idempotency for financial/booking writes; entities: event_leads, quotations, events, function_sheets</t>
        </is>
      </c>
      <c r="T296" s="12" t="inlineStr">
        <is>
          <t>Could Have</t>
        </is>
      </c>
      <c r="U296" s="12" t="inlineStr">
        <is>
          <t>Release 1.2</t>
        </is>
      </c>
      <c r="V296" s="34" t="n">
        <v>3</v>
      </c>
      <c r="W296" s="12" t="inlineStr">
        <is>
          <t>S17-S19</t>
        </is>
      </c>
      <c r="X296" s="12" t="inlineStr">
        <is>
          <t>Backlog</t>
        </is>
      </c>
      <c r="Y296" s="13">
        <f>IF(X296="Done",1,IF(X296="QA",0.9,IF(X296="Code Review",0.75,IF(X296="In Development",0.5,IF(X296="Ready",0.1,0)))))</f>
        <v/>
      </c>
      <c r="Z296" s="12" t="n"/>
      <c r="AA296" s="12" t="inlineStr">
        <is>
          <t>TC-017-A</t>
        </is>
      </c>
      <c r="AB296" s="12" t="inlineStr">
        <is>
          <t>Approved screen design; story reviewed with Sales; dependencies, API contract, role permissions and test data identified.</t>
        </is>
      </c>
      <c r="AC296" s="12" t="inlineStr">
        <is>
          <t>Code reviewed; unit, API, UI, RBAC and integration tests pass; accessibility and responsive states verified; audit evidence captured; product owner accepts in staging.</t>
        </is>
      </c>
      <c r="AD296" s="12" t="n"/>
    </row>
    <row r="297" ht="78" customHeight="1" s="43">
      <c r="A297" s="11" t="n">
        <v>3</v>
      </c>
      <c r="B297" s="11" t="n">
        <v>293</v>
      </c>
      <c r="C297" s="12" t="inlineStr">
        <is>
          <t>US-017-02</t>
        </is>
      </c>
      <c r="D297" s="12" t="inlineStr">
        <is>
          <t>Complete the primary Events and Banquets workflow</t>
        </is>
      </c>
      <c r="E297" s="12" t="inlineStr">
        <is>
          <t>EPIC-11</t>
        </is>
      </c>
      <c r="F297" s="12" t="inlineStr">
        <is>
          <t>Events &amp; Banquets</t>
        </is>
      </c>
      <c r="G297" s="12" t="inlineStr">
        <is>
          <t>Event Operations</t>
        </is>
      </c>
      <c r="H297" s="11" t="inlineStr">
        <is>
          <t>SCR-017</t>
        </is>
      </c>
      <c r="I297" s="12" t="inlineStr">
        <is>
          <t>Events and Banquets</t>
        </is>
      </c>
      <c r="J297" s="12" t="inlineStr">
        <is>
          <t>Primary Workflow</t>
        </is>
      </c>
      <c r="K297" s="12" t="inlineStr">
        <is>
          <t>Sales</t>
        </is>
      </c>
      <c r="L297" s="12" t="inlineStr">
        <is>
          <t>As a Sales, I want to list, search, filter, view, create, edit, cancel/delete under policy, export in Events and Banquets, so that the event operations process is completed accurately without duplicate or inconsistent records.</t>
        </is>
      </c>
      <c r="M297" s="12" t="inlineStr">
        <is>
          <t>Enable events &amp; banquets users to manage event operations through the Events and Banquets workflow with real-time status, validations and traceability.</t>
        </is>
      </c>
      <c r="N297" s="12" t="inlineStr">
        <is>
          <t>View access confirmed; required masters and linked records exist; Guests, Inventory, Finance services are available; approval limit is valid.</t>
        </is>
      </c>
      <c r="O29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events and banquets workflow; invalid or conflicting actions are blocked with clear messages; saved changes appear in related screens; sensitive changes are auditable.</t>
        </is>
      </c>
      <c r="P297" s="12" t="inlineStr">
        <is>
          <t>Duplicate submission is idempotent; stale data returns a refresh/conflict message; invalid status transitions are blocked; partial failure rolls back without orphan records.</t>
        </is>
      </c>
      <c r="Q297" s="12" t="inlineStr">
        <is>
          <t>Tenant/property scope; required fields; optimistic locking; timezone-safe dates; reason mandatory for overrides; availability and overlap check; status-transition rules; cancellation policy</t>
        </is>
      </c>
      <c r="R297" s="12" t="inlineStr">
        <is>
          <t>Guests, Inventory, Finance</t>
        </is>
      </c>
      <c r="S297" s="12" t="inlineStr">
        <is>
          <t>GET, POST, PUT/PATCH, DELETE /api/v1/events-and-banquets; lookup, validation and audit endpoints; idempotency for financial/booking writes; entities: event_leads, quotations, events, function_sheets</t>
        </is>
      </c>
      <c r="T297" s="12" t="inlineStr">
        <is>
          <t>Could Have</t>
        </is>
      </c>
      <c r="U297" s="12" t="inlineStr">
        <is>
          <t>Release 1.2</t>
        </is>
      </c>
      <c r="V297" s="34" t="n">
        <v>8</v>
      </c>
      <c r="W297" s="12" t="inlineStr">
        <is>
          <t>S17-S19</t>
        </is>
      </c>
      <c r="X297" s="12" t="inlineStr">
        <is>
          <t>Backlog</t>
        </is>
      </c>
      <c r="Y297" s="13">
        <f>IF(X297="Done",1,IF(X297="QA",0.9,IF(X297="Code Review",0.75,IF(X297="In Development",0.5,IF(X297="Ready",0.1,0)))))</f>
        <v/>
      </c>
      <c r="Z297" s="12" t="n"/>
      <c r="AA297" s="12" t="inlineStr">
        <is>
          <t>TC-017-B</t>
        </is>
      </c>
      <c r="AB297" s="12" t="inlineStr">
        <is>
          <t>Approved screen design; story reviewed with Sales; dependencies, API contract, role permissions and test data identified.</t>
        </is>
      </c>
      <c r="AC297" s="12" t="inlineStr">
        <is>
          <t>Code reviewed; unit, API, UI, RBAC and integration tests pass; accessibility and responsive states verified; audit evidence captured; product owner accepts in staging.</t>
        </is>
      </c>
      <c r="AD297" s="12" t="n"/>
    </row>
    <row r="298" ht="78" customHeight="1" s="43">
      <c r="A298" s="11" t="n">
        <v>3</v>
      </c>
      <c r="B298" s="11" t="n">
        <v>294</v>
      </c>
      <c r="C298" s="12" t="inlineStr">
        <is>
          <t>US-017-03</t>
        </is>
      </c>
      <c r="D298" s="12" t="inlineStr">
        <is>
          <t>Control permissions, overrides and audit for Events and Banquets</t>
        </is>
      </c>
      <c r="E298" s="12" t="inlineStr">
        <is>
          <t>EPIC-11</t>
        </is>
      </c>
      <c r="F298" s="12" t="inlineStr">
        <is>
          <t>Events &amp; Banquets</t>
        </is>
      </c>
      <c r="G298" s="12" t="inlineStr">
        <is>
          <t>Event Operations</t>
        </is>
      </c>
      <c r="H298" s="11" t="inlineStr">
        <is>
          <t>SCR-017</t>
        </is>
      </c>
      <c r="I298" s="12" t="inlineStr">
        <is>
          <t>Events and Banquets</t>
        </is>
      </c>
      <c r="J298" s="12" t="inlineStr">
        <is>
          <t>Security / Exceptions</t>
        </is>
      </c>
      <c r="K298" s="12" t="inlineStr">
        <is>
          <t>Sales</t>
        </is>
      </c>
      <c r="L298" s="12" t="inlineStr">
        <is>
          <t>As a department supervisor or auditor, I want sensitive actions in Events and Banquets to follow permissions, approval limits and audit rules, so that resort operations remain secure, compliant and traceable.</t>
        </is>
      </c>
      <c r="M298" s="12" t="inlineStr">
        <is>
          <t>Reduces fraud, privacy leakage, unauthorized overrides and unresolved operational disputes.</t>
        </is>
      </c>
      <c r="N298" s="12" t="inlineStr">
        <is>
          <t>Roles, permissions, approval hierarchy and audit service are configured; allowed and denied test users exist.</t>
        </is>
      </c>
      <c r="O29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98" s="12" t="inlineStr">
        <is>
          <t>Tampered IDs, expired sessions, approval-limit violations and cross-tenant requests are rejected; secrets and sensitive guest/payment fields are never written to logs.</t>
        </is>
      </c>
      <c r="Q298" s="12" t="inlineStr">
        <is>
          <t>Tenant/property scope; required fields; optimistic locking; timezone-safe dates; reason mandatory for overrides; availability and overlap check; status-transition rules; cancellation policy</t>
        </is>
      </c>
      <c r="R298" s="12" t="inlineStr">
        <is>
          <t>Guests, Inventory, Finance</t>
        </is>
      </c>
      <c r="S298" s="12" t="inlineStr">
        <is>
          <t>GET, POST, PUT/PATCH, DELETE /api/v1/events-and-banquets; lookup, validation and audit endpoints; idempotency for financial/booking writes; entities: event_leads, quotations, events, function_sheets</t>
        </is>
      </c>
      <c r="T298" s="12" t="inlineStr">
        <is>
          <t>Could Have</t>
        </is>
      </c>
      <c r="U298" s="12" t="inlineStr">
        <is>
          <t>Release 1.2</t>
        </is>
      </c>
      <c r="V298" s="34" t="n">
        <v>5</v>
      </c>
      <c r="W298" s="12" t="inlineStr">
        <is>
          <t>S17-S19</t>
        </is>
      </c>
      <c r="X298" s="12" t="inlineStr">
        <is>
          <t>Backlog</t>
        </is>
      </c>
      <c r="Y298" s="13">
        <f>IF(X298="Done",1,IF(X298="QA",0.9,IF(X298="Code Review",0.75,IF(X298="In Development",0.5,IF(X298="Ready",0.1,0)))))</f>
        <v/>
      </c>
      <c r="Z298" s="12" t="n"/>
      <c r="AA298" s="12" t="inlineStr">
        <is>
          <t>TC-017-C</t>
        </is>
      </c>
      <c r="AB298" s="12" t="inlineStr">
        <is>
          <t>Approved screen design; story reviewed with Sales; dependencies, API contract, role permissions and test data identified.</t>
        </is>
      </c>
      <c r="AC298" s="12" t="inlineStr">
        <is>
          <t>Code reviewed; unit, API, UI, RBAC and integration tests pass; accessibility and responsive states verified; audit evidence captured; product owner accepts in staging.</t>
        </is>
      </c>
      <c r="AD298" s="12" t="n"/>
    </row>
    <row r="299" ht="78" customHeight="1" s="43">
      <c r="A299" s="11" t="n">
        <v>3</v>
      </c>
      <c r="B299" s="11" t="n">
        <v>295</v>
      </c>
      <c r="C299" s="12" t="inlineStr">
        <is>
          <t>US-018-01</t>
        </is>
      </c>
      <c r="D299" s="12" t="inlineStr">
        <is>
          <t>View and find information in Transport and Transfers</t>
        </is>
      </c>
      <c r="E299" s="12" t="inlineStr">
        <is>
          <t>EPIC-12</t>
        </is>
      </c>
      <c r="F299" s="12" t="inlineStr">
        <is>
          <t>Transport</t>
        </is>
      </c>
      <c r="G299" s="12" t="inlineStr">
        <is>
          <t>Transfer Operations</t>
        </is>
      </c>
      <c r="H299" s="11" t="inlineStr">
        <is>
          <t>SCR-018</t>
        </is>
      </c>
      <c r="I299" s="12" t="inlineStr">
        <is>
          <t>Transport and Transfers</t>
        </is>
      </c>
      <c r="J299" s="12" t="inlineStr">
        <is>
          <t>View / Search</t>
        </is>
      </c>
      <c r="K299" s="12" t="inlineStr">
        <is>
          <t>Transport Manager</t>
        </is>
      </c>
      <c r="L299" s="12" t="inlineStr">
        <is>
          <t>As a Transport Manager, I want to open Transport and Transfers and find relevant records using search, filters and sorting, so that I can make accurate operational decisions.</t>
        </is>
      </c>
      <c r="M299" s="12" t="inlineStr">
        <is>
          <t>Provides timely visibility for transfer operations and reduces manual lookup effort.</t>
        </is>
      </c>
      <c r="N299" s="12" t="inlineStr">
        <is>
          <t>Authenticated user; active property; view permission for Transport; Guests, Workforce, Finance data available.</t>
        </is>
      </c>
      <c r="O299" s="12" t="inlineStr">
        <is>
          <t>Given I am authenticated as Transport Manager with access to the selected property, when I open Transport and Transfers,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99" s="12" t="inlineStr">
        <is>
          <t>Cross-property data never appears; unauthorized fields are masked; invalid filters do not break the screen; unavailable services return a controlled message.</t>
        </is>
      </c>
      <c r="Q299" s="12" t="inlineStr">
        <is>
          <t>Tenant/property scope; required fields; optimistic locking; timezone-safe dates; reason mandatory for overrides; availability and overlap check; status-transition rules; cancellation policy</t>
        </is>
      </c>
      <c r="R299" s="12" t="inlineStr">
        <is>
          <t>Guests, Workforce, Finance</t>
        </is>
      </c>
      <c r="S299" s="12" t="inlineStr">
        <is>
          <t>GET, POST, PUT/PATCH, DELETE /api/v1/transport-and-transfers; lookup, validation and audit endpoints; idempotency for financial/booking writes; entities: vehicles, drivers, transport_bookings, trips</t>
        </is>
      </c>
      <c r="T299" s="12" t="inlineStr">
        <is>
          <t>Could Have</t>
        </is>
      </c>
      <c r="U299" s="12" t="inlineStr">
        <is>
          <t>Release 1.2</t>
        </is>
      </c>
      <c r="V299" s="34" t="n">
        <v>3</v>
      </c>
      <c r="W299" s="12" t="inlineStr">
        <is>
          <t>S17-S19</t>
        </is>
      </c>
      <c r="X299" s="12" t="inlineStr">
        <is>
          <t>Backlog</t>
        </is>
      </c>
      <c r="Y299" s="13">
        <f>IF(X299="Done",1,IF(X299="QA",0.9,IF(X299="Code Review",0.75,IF(X299="In Development",0.5,IF(X299="Ready",0.1,0)))))</f>
        <v/>
      </c>
      <c r="Z299" s="12" t="n"/>
      <c r="AA299" s="12" t="inlineStr">
        <is>
          <t>TC-018-A</t>
        </is>
      </c>
      <c r="AB299" s="12" t="inlineStr">
        <is>
          <t>Approved screen design; story reviewed with Transport Manager; dependencies, API contract, role permissions and test data identified.</t>
        </is>
      </c>
      <c r="AC299" s="12" t="inlineStr">
        <is>
          <t>Code reviewed; unit, API, UI, RBAC and integration tests pass; accessibility and responsive states verified; audit evidence captured; product owner accepts in staging.</t>
        </is>
      </c>
      <c r="AD299" s="12" t="n"/>
    </row>
    <row r="300" ht="78" customHeight="1" s="43">
      <c r="A300" s="11" t="n">
        <v>3</v>
      </c>
      <c r="B300" s="11" t="n">
        <v>296</v>
      </c>
      <c r="C300" s="12" t="inlineStr">
        <is>
          <t>US-018-02</t>
        </is>
      </c>
      <c r="D300" s="12" t="inlineStr">
        <is>
          <t>Complete the primary Transport and Transfers workflow</t>
        </is>
      </c>
      <c r="E300" s="12" t="inlineStr">
        <is>
          <t>EPIC-12</t>
        </is>
      </c>
      <c r="F300" s="12" t="inlineStr">
        <is>
          <t>Transport</t>
        </is>
      </c>
      <c r="G300" s="12" t="inlineStr">
        <is>
          <t>Transfer Operations</t>
        </is>
      </c>
      <c r="H300" s="11" t="inlineStr">
        <is>
          <t>SCR-018</t>
        </is>
      </c>
      <c r="I300" s="12" t="inlineStr">
        <is>
          <t>Transport and Transfers</t>
        </is>
      </c>
      <c r="J300" s="12" t="inlineStr">
        <is>
          <t>Primary Workflow</t>
        </is>
      </c>
      <c r="K300" s="12" t="inlineStr">
        <is>
          <t>Transport Manager</t>
        </is>
      </c>
      <c r="L300" s="12" t="inlineStr">
        <is>
          <t>As a Transport Manager, I want to list, search, filter, view, create, edit, cancel/delete under policy, export in Transport and Transfers, so that the transfer operations process is completed accurately without duplicate or inconsistent records.</t>
        </is>
      </c>
      <c r="M300" s="12" t="inlineStr">
        <is>
          <t>Enable transport users to manage transfer operations through the Transport and Transfers workflow with real-time status, validations and traceability.</t>
        </is>
      </c>
      <c r="N300" s="12" t="inlineStr">
        <is>
          <t>View access confirmed; required masters and linked records exist; Guests, Workforce, Finance services are available; approval limit is valid.</t>
        </is>
      </c>
      <c r="O30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transport and transfers workflow; invalid or conflicting actions are blocked with clear messages; saved changes appear in related screens; sensitive changes are auditable.</t>
        </is>
      </c>
      <c r="P300" s="12" t="inlineStr">
        <is>
          <t>Duplicate submission is idempotent; stale data returns a refresh/conflict message; invalid status transitions are blocked; partial failure rolls back without orphan records.</t>
        </is>
      </c>
      <c r="Q300" s="12" t="inlineStr">
        <is>
          <t>Tenant/property scope; required fields; optimistic locking; timezone-safe dates; reason mandatory for overrides; availability and overlap check; status-transition rules; cancellation policy</t>
        </is>
      </c>
      <c r="R300" s="12" t="inlineStr">
        <is>
          <t>Guests, Workforce, Finance</t>
        </is>
      </c>
      <c r="S300" s="12" t="inlineStr">
        <is>
          <t>GET, POST, PUT/PATCH, DELETE /api/v1/transport-and-transfers; lookup, validation and audit endpoints; idempotency for financial/booking writes; entities: vehicles, drivers, transport_bookings, trips</t>
        </is>
      </c>
      <c r="T300" s="12" t="inlineStr">
        <is>
          <t>Could Have</t>
        </is>
      </c>
      <c r="U300" s="12" t="inlineStr">
        <is>
          <t>Release 1.2</t>
        </is>
      </c>
      <c r="V300" s="34" t="n">
        <v>5</v>
      </c>
      <c r="W300" s="12" t="inlineStr">
        <is>
          <t>S17-S19</t>
        </is>
      </c>
      <c r="X300" s="12" t="inlineStr">
        <is>
          <t>Backlog</t>
        </is>
      </c>
      <c r="Y300" s="13">
        <f>IF(X300="Done",1,IF(X300="QA",0.9,IF(X300="Code Review",0.75,IF(X300="In Development",0.5,IF(X300="Ready",0.1,0)))))</f>
        <v/>
      </c>
      <c r="Z300" s="12" t="n"/>
      <c r="AA300" s="12" t="inlineStr">
        <is>
          <t>TC-018-B</t>
        </is>
      </c>
      <c r="AB300" s="12" t="inlineStr">
        <is>
          <t>Approved screen design; story reviewed with Transport Manager; dependencies, API contract, role permissions and test data identified.</t>
        </is>
      </c>
      <c r="AC300" s="12" t="inlineStr">
        <is>
          <t>Code reviewed; unit, API, UI, RBAC and integration tests pass; accessibility and responsive states verified; audit evidence captured; product owner accepts in staging.</t>
        </is>
      </c>
      <c r="AD300" s="12" t="n"/>
    </row>
    <row r="301" ht="78" customHeight="1" s="43">
      <c r="A301" s="11" t="n">
        <v>3</v>
      </c>
      <c r="B301" s="11" t="n">
        <v>297</v>
      </c>
      <c r="C301" s="12" t="inlineStr">
        <is>
          <t>US-018-03</t>
        </is>
      </c>
      <c r="D301" s="12" t="inlineStr">
        <is>
          <t>Control permissions, overrides and audit for Transport and Transfers</t>
        </is>
      </c>
      <c r="E301" s="12" t="inlineStr">
        <is>
          <t>EPIC-12</t>
        </is>
      </c>
      <c r="F301" s="12" t="inlineStr">
        <is>
          <t>Transport</t>
        </is>
      </c>
      <c r="G301" s="12" t="inlineStr">
        <is>
          <t>Transfer Operations</t>
        </is>
      </c>
      <c r="H301" s="11" t="inlineStr">
        <is>
          <t>SCR-018</t>
        </is>
      </c>
      <c r="I301" s="12" t="inlineStr">
        <is>
          <t>Transport and Transfers</t>
        </is>
      </c>
      <c r="J301" s="12" t="inlineStr">
        <is>
          <t>Security / Exceptions</t>
        </is>
      </c>
      <c r="K301" s="12" t="inlineStr">
        <is>
          <t>Transport Manager</t>
        </is>
      </c>
      <c r="L301" s="12" t="inlineStr">
        <is>
          <t>As a department supervisor or auditor, I want sensitive actions in Transport and Transfers to follow permissions, approval limits and audit rules, so that resort operations remain secure, compliant and traceable.</t>
        </is>
      </c>
      <c r="M301" s="12" t="inlineStr">
        <is>
          <t>Reduces fraud, privacy leakage, unauthorized overrides and unresolved operational disputes.</t>
        </is>
      </c>
      <c r="N301" s="12" t="inlineStr">
        <is>
          <t>Roles, permissions, approval hierarchy and audit service are configured; allowed and denied test users exist.</t>
        </is>
      </c>
      <c r="O30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01" s="12" t="inlineStr">
        <is>
          <t>Tampered IDs, expired sessions, approval-limit violations and cross-tenant requests are rejected; secrets and sensitive guest/payment fields are never written to logs.</t>
        </is>
      </c>
      <c r="Q301" s="12" t="inlineStr">
        <is>
          <t>Tenant/property scope; required fields; optimistic locking; timezone-safe dates; reason mandatory for overrides; availability and overlap check; status-transition rules; cancellation policy</t>
        </is>
      </c>
      <c r="R301" s="12" t="inlineStr">
        <is>
          <t>Guests, Workforce, Finance</t>
        </is>
      </c>
      <c r="S301" s="12" t="inlineStr">
        <is>
          <t>GET, POST, PUT/PATCH, DELETE /api/v1/transport-and-transfers; lookup, validation and audit endpoints; idempotency for financial/booking writes; entities: vehicles, drivers, transport_bookings, trips</t>
        </is>
      </c>
      <c r="T301" s="12" t="inlineStr">
        <is>
          <t>Could Have</t>
        </is>
      </c>
      <c r="U301" s="12" t="inlineStr">
        <is>
          <t>Release 1.2</t>
        </is>
      </c>
      <c r="V301" s="34" t="n">
        <v>3</v>
      </c>
      <c r="W301" s="12" t="inlineStr">
        <is>
          <t>S17-S19</t>
        </is>
      </c>
      <c r="X301" s="12" t="inlineStr">
        <is>
          <t>Backlog</t>
        </is>
      </c>
      <c r="Y301" s="13">
        <f>IF(X301="Done",1,IF(X301="QA",0.9,IF(X301="Code Review",0.75,IF(X301="In Development",0.5,IF(X301="Ready",0.1,0)))))</f>
        <v/>
      </c>
      <c r="Z301" s="12" t="n"/>
      <c r="AA301" s="12" t="inlineStr">
        <is>
          <t>TC-018-C</t>
        </is>
      </c>
      <c r="AB301" s="12" t="inlineStr">
        <is>
          <t>Approved screen design; story reviewed with Transport Manager; dependencies, API contract, role permissions and test data identified.</t>
        </is>
      </c>
      <c r="AC301" s="12" t="inlineStr">
        <is>
          <t>Code reviewed; unit, API, UI, RBAC and integration tests pass; accessibility and responsive states verified; audit evidence captured; product owner accepts in staging.</t>
        </is>
      </c>
      <c r="AD301" s="12" t="n"/>
    </row>
    <row r="302" ht="78" customHeight="1" s="43">
      <c r="A302" s="11" t="n">
        <v>3</v>
      </c>
      <c r="B302" s="11" t="n">
        <v>298</v>
      </c>
      <c r="C302" s="12" t="inlineStr">
        <is>
          <t>US-084-01</t>
        </is>
      </c>
      <c r="D302" s="12" t="inlineStr">
        <is>
          <t>View and find information in Create or Edit Activity</t>
        </is>
      </c>
      <c r="E302" s="12" t="inlineStr">
        <is>
          <t>EPIC-09</t>
        </is>
      </c>
      <c r="F302" s="12" t="inlineStr">
        <is>
          <t>Activities</t>
        </is>
      </c>
      <c r="G302" s="12" t="inlineStr">
        <is>
          <t>Activity Master</t>
        </is>
      </c>
      <c r="H302" s="11" t="inlineStr">
        <is>
          <t>SCR-084</t>
        </is>
      </c>
      <c r="I302" s="12" t="inlineStr">
        <is>
          <t>Create or Edit Activity</t>
        </is>
      </c>
      <c r="J302" s="12" t="inlineStr">
        <is>
          <t>View / Search</t>
        </is>
      </c>
      <c r="K302" s="12" t="inlineStr">
        <is>
          <t>Activities Manager</t>
        </is>
      </c>
      <c r="L302" s="12" t="inlineStr">
        <is>
          <t>As a Activities Manager, I want to open Create or Edit Activity and find relevant records using search, filters and sorting, so that I can make accurate operational decisions.</t>
        </is>
      </c>
      <c r="M302" s="12" t="inlineStr">
        <is>
          <t>Provides timely visibility for activity master and reduces manual lookup effort.</t>
        </is>
      </c>
      <c r="N302" s="12" t="inlineStr">
        <is>
          <t>Authenticated user; active property; view permission for Activities; Guests, Resources, Finance data available.</t>
        </is>
      </c>
      <c r="O302" s="12" t="inlineStr">
        <is>
          <t>Given I am authenticated as Activities Manager with access to the selected property, when I open Create or Edit Activity,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02" s="12" t="inlineStr">
        <is>
          <t>Cross-property data never appears; unauthorized fields are masked; invalid filters do not break the screen; unavailable services return a controlled message.</t>
        </is>
      </c>
      <c r="Q302" s="12" t="inlineStr">
        <is>
          <t>Tenant/property scope; required fields; optimistic locking; timezone-safe dates; reason mandatory for overrides; availability and overlap check; status-transition rules; cancellation policy</t>
        </is>
      </c>
      <c r="R302" s="12" t="inlineStr">
        <is>
          <t>Guests, Resources, Finance</t>
        </is>
      </c>
      <c r="S302" s="12" t="inlineStr">
        <is>
          <t>GET, POST, PUT/PATCH, DELETE /api/v1/create-or-edit-activity; lookup, validation and audit endpoints; idempotency for financial/booking writes; entities: activities, activity_slots, activity_bookings</t>
        </is>
      </c>
      <c r="T302" s="12" t="inlineStr">
        <is>
          <t>Could Have</t>
        </is>
      </c>
      <c r="U302" s="12" t="inlineStr">
        <is>
          <t>Release 1.2</t>
        </is>
      </c>
      <c r="V302" s="34" t="n">
        <v>3</v>
      </c>
      <c r="W302" s="12" t="inlineStr">
        <is>
          <t>S17-S19</t>
        </is>
      </c>
      <c r="X302" s="12" t="inlineStr">
        <is>
          <t>Backlog</t>
        </is>
      </c>
      <c r="Y302" s="13">
        <f>IF(X302="Done",1,IF(X302="QA",0.9,IF(X302="Code Review",0.75,IF(X302="In Development",0.5,IF(X302="Ready",0.1,0)))))</f>
        <v/>
      </c>
      <c r="Z302" s="12" t="n"/>
      <c r="AA302" s="12" t="inlineStr">
        <is>
          <t>TC-084-A</t>
        </is>
      </c>
      <c r="AB302" s="12" t="inlineStr">
        <is>
          <t>Approved screen design; story reviewed with Activities Manager; dependencies, API contract, role permissions and test data identified.</t>
        </is>
      </c>
      <c r="AC302" s="12" t="inlineStr">
        <is>
          <t>Code reviewed; unit, API, UI, RBAC and integration tests pass; accessibility and responsive states verified; audit evidence captured; product owner accepts in staging.</t>
        </is>
      </c>
      <c r="AD302" s="12" t="n"/>
    </row>
    <row r="303" ht="78" customHeight="1" s="43">
      <c r="A303" s="11" t="n">
        <v>3</v>
      </c>
      <c r="B303" s="11" t="n">
        <v>299</v>
      </c>
      <c r="C303" s="12" t="inlineStr">
        <is>
          <t>US-084-02</t>
        </is>
      </c>
      <c r="D303" s="12" t="inlineStr">
        <is>
          <t>Complete the primary Create or Edit Activity workflow</t>
        </is>
      </c>
      <c r="E303" s="12" t="inlineStr">
        <is>
          <t>EPIC-09</t>
        </is>
      </c>
      <c r="F303" s="12" t="inlineStr">
        <is>
          <t>Activities</t>
        </is>
      </c>
      <c r="G303" s="12" t="inlineStr">
        <is>
          <t>Activity Master</t>
        </is>
      </c>
      <c r="H303" s="11" t="inlineStr">
        <is>
          <t>SCR-084</t>
        </is>
      </c>
      <c r="I303" s="12" t="inlineStr">
        <is>
          <t>Create or Edit Activity</t>
        </is>
      </c>
      <c r="J303" s="12" t="inlineStr">
        <is>
          <t>Primary Workflow</t>
        </is>
      </c>
      <c r="K303" s="12" t="inlineStr">
        <is>
          <t>Activities Manager</t>
        </is>
      </c>
      <c r="L303" s="12" t="inlineStr">
        <is>
          <t>As a Activities Manager, I want to list, view, create, edit, activate/deactivate, delete where safe in Create or Edit Activity, so that the activity master process is completed accurately without duplicate or inconsistent records.</t>
        </is>
      </c>
      <c r="M303" s="12" t="inlineStr">
        <is>
          <t>Enable activities users to manage activity master through the Create or Edit Activity workflow with real-time status, validations and traceability.</t>
        </is>
      </c>
      <c r="N303" s="12" t="inlineStr">
        <is>
          <t>View access confirmed; required masters and linked records exist; Guests, Resources, Finance services are available; approval limit is valid.</t>
        </is>
      </c>
      <c r="O30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or edit activity workflow; invalid or conflicting actions are blocked with clear messages; saved changes appear in related screens; sensitive changes are auditable.</t>
        </is>
      </c>
      <c r="P303" s="12" t="inlineStr">
        <is>
          <t>Duplicate submission is idempotent; stale data returns a refresh/conflict message; invalid status transitions are blocked; partial failure rolls back without orphan records.</t>
        </is>
      </c>
      <c r="Q303" s="12" t="inlineStr">
        <is>
          <t>Tenant/property scope; required fields; optimistic locking; timezone-safe dates; reason mandatory for overrides; availability and overlap check; status-transition rules; cancellation policy</t>
        </is>
      </c>
      <c r="R303" s="12" t="inlineStr">
        <is>
          <t>Guests, Resources, Finance</t>
        </is>
      </c>
      <c r="S303" s="12" t="inlineStr">
        <is>
          <t>GET, POST, PUT/PATCH, DELETE /api/v1/create-or-edit-activity; lookup, validation and audit endpoints; idempotency for financial/booking writes; entities: activities, activity_slots, activity_bookings</t>
        </is>
      </c>
      <c r="T303" s="12" t="inlineStr">
        <is>
          <t>Could Have</t>
        </is>
      </c>
      <c r="U303" s="12" t="inlineStr">
        <is>
          <t>Release 1.2</t>
        </is>
      </c>
      <c r="V303" s="34" t="n">
        <v>5</v>
      </c>
      <c r="W303" s="12" t="inlineStr">
        <is>
          <t>S17-S19</t>
        </is>
      </c>
      <c r="X303" s="12" t="inlineStr">
        <is>
          <t>Backlog</t>
        </is>
      </c>
      <c r="Y303" s="13">
        <f>IF(X303="Done",1,IF(X303="QA",0.9,IF(X303="Code Review",0.75,IF(X303="In Development",0.5,IF(X303="Ready",0.1,0)))))</f>
        <v/>
      </c>
      <c r="Z303" s="12" t="n"/>
      <c r="AA303" s="12" t="inlineStr">
        <is>
          <t>TC-084-B</t>
        </is>
      </c>
      <c r="AB303" s="12" t="inlineStr">
        <is>
          <t>Approved screen design; story reviewed with Activities Manager; dependencies, API contract, role permissions and test data identified.</t>
        </is>
      </c>
      <c r="AC303" s="12" t="inlineStr">
        <is>
          <t>Code reviewed; unit, API, UI, RBAC and integration tests pass; accessibility and responsive states verified; audit evidence captured; product owner accepts in staging.</t>
        </is>
      </c>
      <c r="AD303" s="12" t="n"/>
    </row>
    <row r="304" ht="78" customHeight="1" s="43">
      <c r="A304" s="11" t="n">
        <v>3</v>
      </c>
      <c r="B304" s="11" t="n">
        <v>300</v>
      </c>
      <c r="C304" s="12" t="inlineStr">
        <is>
          <t>US-084-03</t>
        </is>
      </c>
      <c r="D304" s="12" t="inlineStr">
        <is>
          <t>Control permissions, overrides and audit for Create or Edit Activity</t>
        </is>
      </c>
      <c r="E304" s="12" t="inlineStr">
        <is>
          <t>EPIC-09</t>
        </is>
      </c>
      <c r="F304" s="12" t="inlineStr">
        <is>
          <t>Activities</t>
        </is>
      </c>
      <c r="G304" s="12" t="inlineStr">
        <is>
          <t>Activity Master</t>
        </is>
      </c>
      <c r="H304" s="11" t="inlineStr">
        <is>
          <t>SCR-084</t>
        </is>
      </c>
      <c r="I304" s="12" t="inlineStr">
        <is>
          <t>Create or Edit Activity</t>
        </is>
      </c>
      <c r="J304" s="12" t="inlineStr">
        <is>
          <t>Security / Exceptions</t>
        </is>
      </c>
      <c r="K304" s="12" t="inlineStr">
        <is>
          <t>Activities Manager</t>
        </is>
      </c>
      <c r="L304" s="12" t="inlineStr">
        <is>
          <t>As a department supervisor or auditor, I want sensitive actions in Create or Edit Activity to follow permissions, approval limits and audit rules, so that resort operations remain secure, compliant and traceable.</t>
        </is>
      </c>
      <c r="M304" s="12" t="inlineStr">
        <is>
          <t>Reduces fraud, privacy leakage, unauthorized overrides and unresolved operational disputes.</t>
        </is>
      </c>
      <c r="N304" s="12" t="inlineStr">
        <is>
          <t>Roles, permissions, approval hierarchy and audit service are configured; allowed and denied test users exist.</t>
        </is>
      </c>
      <c r="O30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04" s="12" t="inlineStr">
        <is>
          <t>Tampered IDs, expired sessions, approval-limit violations and cross-tenant requests are rejected; secrets and sensitive guest/payment fields are never written to logs.</t>
        </is>
      </c>
      <c r="Q304" s="12" t="inlineStr">
        <is>
          <t>Tenant/property scope; required fields; optimistic locking; timezone-safe dates; reason mandatory for overrides; availability and overlap check; status-transition rules; cancellation policy</t>
        </is>
      </c>
      <c r="R304" s="12" t="inlineStr">
        <is>
          <t>Guests, Resources, Finance</t>
        </is>
      </c>
      <c r="S304" s="12" t="inlineStr">
        <is>
          <t>GET, POST, PUT/PATCH, DELETE /api/v1/create-or-edit-activity; lookup, validation and audit endpoints; idempotency for financial/booking writes; entities: activities, activity_slots, activity_bookings</t>
        </is>
      </c>
      <c r="T304" s="12" t="inlineStr">
        <is>
          <t>Could Have</t>
        </is>
      </c>
      <c r="U304" s="12" t="inlineStr">
        <is>
          <t>Release 1.2</t>
        </is>
      </c>
      <c r="V304" s="34" t="n">
        <v>3</v>
      </c>
      <c r="W304" s="12" t="inlineStr">
        <is>
          <t>S17-S19</t>
        </is>
      </c>
      <c r="X304" s="12" t="inlineStr">
        <is>
          <t>Backlog</t>
        </is>
      </c>
      <c r="Y304" s="13">
        <f>IF(X304="Done",1,IF(X304="QA",0.9,IF(X304="Code Review",0.75,IF(X304="In Development",0.5,IF(X304="Ready",0.1,0)))))</f>
        <v/>
      </c>
      <c r="Z304" s="12" t="n"/>
      <c r="AA304" s="12" t="inlineStr">
        <is>
          <t>TC-084-C</t>
        </is>
      </c>
      <c r="AB304" s="12" t="inlineStr">
        <is>
          <t>Approved screen design; story reviewed with Activities Manager; dependencies, API contract, role permissions and test data identified.</t>
        </is>
      </c>
      <c r="AC304" s="12" t="inlineStr">
        <is>
          <t>Code reviewed; unit, API, UI, RBAC and integration tests pass; accessibility and responsive states verified; audit evidence captured; product owner accepts in staging.</t>
        </is>
      </c>
      <c r="AD304" s="12" t="n"/>
    </row>
    <row r="305" ht="78" customHeight="1" s="43">
      <c r="A305" s="11" t="n">
        <v>3</v>
      </c>
      <c r="B305" s="11" t="n">
        <v>301</v>
      </c>
      <c r="C305" s="12" t="inlineStr">
        <is>
          <t>US-085-01</t>
        </is>
      </c>
      <c r="D305" s="12" t="inlineStr">
        <is>
          <t>View and find information in Activity Booking Details</t>
        </is>
      </c>
      <c r="E305" s="12" t="inlineStr">
        <is>
          <t>EPIC-09</t>
        </is>
      </c>
      <c r="F305" s="12" t="inlineStr">
        <is>
          <t>Activities</t>
        </is>
      </c>
      <c r="G305" s="12" t="inlineStr">
        <is>
          <t>Bookings</t>
        </is>
      </c>
      <c r="H305" s="11" t="inlineStr">
        <is>
          <t>SCR-085</t>
        </is>
      </c>
      <c r="I305" s="12" t="inlineStr">
        <is>
          <t>Activity Booking Details</t>
        </is>
      </c>
      <c r="J305" s="12" t="inlineStr">
        <is>
          <t>View / Search</t>
        </is>
      </c>
      <c r="K305" s="12" t="inlineStr">
        <is>
          <t>Activities Manager</t>
        </is>
      </c>
      <c r="L305" s="12" t="inlineStr">
        <is>
          <t>As a Activities Manager, I want to open Activity Booking Details and find relevant records using search, filters and sorting, so that I can make accurate operational decisions.</t>
        </is>
      </c>
      <c r="M305" s="12" t="inlineStr">
        <is>
          <t>Provides timely visibility for bookings and reduces manual lookup effort.</t>
        </is>
      </c>
      <c r="N305" s="12" t="inlineStr">
        <is>
          <t>Authenticated user; active property; view permission for Activities; Guests, Resources, Finance data available.</t>
        </is>
      </c>
      <c r="O305" s="12" t="inlineStr">
        <is>
          <t>Given I am authenticated as Activities Manager with access to the selected property, when I open Activity Booking Details,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05" s="12" t="inlineStr">
        <is>
          <t>Cross-property data never appears; unauthorized fields are masked; invalid filters do not break the screen; unavailable services return a controlled message.</t>
        </is>
      </c>
      <c r="Q305" s="12" t="inlineStr">
        <is>
          <t>Tenant/property scope; required fields; optimistic locking; timezone-safe dates; reason mandatory for overrides; availability and overlap check; status-transition rules; cancellation policy</t>
        </is>
      </c>
      <c r="R305" s="12" t="inlineStr">
        <is>
          <t>Guests, Resources, Finance</t>
        </is>
      </c>
      <c r="S305" s="12" t="inlineStr">
        <is>
          <t>GET, POST, PUT/PATCH, DELETE /api/v1/activity-booking-details; lookup, validation and audit endpoints; idempotency for financial/booking writes; entities: activities, activity_slots, activity_bookings</t>
        </is>
      </c>
      <c r="T305" s="12" t="inlineStr">
        <is>
          <t>Could Have</t>
        </is>
      </c>
      <c r="U305" s="12" t="inlineStr">
        <is>
          <t>Release 1.2</t>
        </is>
      </c>
      <c r="V305" s="34" t="n">
        <v>3</v>
      </c>
      <c r="W305" s="12" t="inlineStr">
        <is>
          <t>S17-S19</t>
        </is>
      </c>
      <c r="X305" s="12" t="inlineStr">
        <is>
          <t>Backlog</t>
        </is>
      </c>
      <c r="Y305" s="13">
        <f>IF(X305="Done",1,IF(X305="QA",0.9,IF(X305="Code Review",0.75,IF(X305="In Development",0.5,IF(X305="Ready",0.1,0)))))</f>
        <v/>
      </c>
      <c r="Z305" s="12" t="n"/>
      <c r="AA305" s="12" t="inlineStr">
        <is>
          <t>TC-085-A</t>
        </is>
      </c>
      <c r="AB305" s="12" t="inlineStr">
        <is>
          <t>Approved screen design; story reviewed with Activities Manager; dependencies, API contract, role permissions and test data identified.</t>
        </is>
      </c>
      <c r="AC305" s="12" t="inlineStr">
        <is>
          <t>Code reviewed; unit, API, UI, RBAC and integration tests pass; accessibility and responsive states verified; audit evidence captured; product owner accepts in staging.</t>
        </is>
      </c>
      <c r="AD305" s="12" t="n"/>
    </row>
    <row r="306" ht="78" customHeight="1" s="43">
      <c r="A306" s="11" t="n">
        <v>3</v>
      </c>
      <c r="B306" s="11" t="n">
        <v>302</v>
      </c>
      <c r="C306" s="12" t="inlineStr">
        <is>
          <t>US-085-02</t>
        </is>
      </c>
      <c r="D306" s="12" t="inlineStr">
        <is>
          <t>Complete the primary Activity Booking Details workflow</t>
        </is>
      </c>
      <c r="E306" s="12" t="inlineStr">
        <is>
          <t>EPIC-09</t>
        </is>
      </c>
      <c r="F306" s="12" t="inlineStr">
        <is>
          <t>Activities</t>
        </is>
      </c>
      <c r="G306" s="12" t="inlineStr">
        <is>
          <t>Bookings</t>
        </is>
      </c>
      <c r="H306" s="11" t="inlineStr">
        <is>
          <t>SCR-085</t>
        </is>
      </c>
      <c r="I306" s="12" t="inlineStr">
        <is>
          <t>Activity Booking Details</t>
        </is>
      </c>
      <c r="J306" s="12" t="inlineStr">
        <is>
          <t>Primary Workflow</t>
        </is>
      </c>
      <c r="K306" s="12" t="inlineStr">
        <is>
          <t>Activities Manager</t>
        </is>
      </c>
      <c r="L306" s="12" t="inlineStr">
        <is>
          <t>As a Activities Manager, I want to list, search, filter, view, create, edit, cancel/delete under policy, export in Activity Booking Details, so that the bookings process is completed accurately without duplicate or inconsistent records.</t>
        </is>
      </c>
      <c r="M306" s="12" t="inlineStr">
        <is>
          <t>Enable activities users to manage bookings through the Activity Booking Details workflow with real-time status, validations and traceability.</t>
        </is>
      </c>
      <c r="N306" s="12" t="inlineStr">
        <is>
          <t>View access confirmed; required masters and linked records exist; Guests, Resources, Finance services are available; approval limit is valid.</t>
        </is>
      </c>
      <c r="O30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activity booking details workflow; invalid or conflicting actions are blocked with clear messages; saved changes appear in related screens; sensitive changes are auditable.</t>
        </is>
      </c>
      <c r="P306" s="12" t="inlineStr">
        <is>
          <t>Duplicate submission is idempotent; stale data returns a refresh/conflict message; invalid status transitions are blocked; partial failure rolls back without orphan records.</t>
        </is>
      </c>
      <c r="Q306" s="12" t="inlineStr">
        <is>
          <t>Tenant/property scope; required fields; optimistic locking; timezone-safe dates; reason mandatory for overrides; availability and overlap check; status-transition rules; cancellation policy</t>
        </is>
      </c>
      <c r="R306" s="12" t="inlineStr">
        <is>
          <t>Guests, Resources, Finance</t>
        </is>
      </c>
      <c r="S306" s="12" t="inlineStr">
        <is>
          <t>GET, POST, PUT/PATCH, DELETE /api/v1/activity-booking-details; lookup, validation and audit endpoints; idempotency for financial/booking writes; entities: activities, activity_slots, activity_bookings</t>
        </is>
      </c>
      <c r="T306" s="12" t="inlineStr">
        <is>
          <t>Could Have</t>
        </is>
      </c>
      <c r="U306" s="12" t="inlineStr">
        <is>
          <t>Release 1.2</t>
        </is>
      </c>
      <c r="V306" s="34" t="n">
        <v>5</v>
      </c>
      <c r="W306" s="12" t="inlineStr">
        <is>
          <t>S17-S19</t>
        </is>
      </c>
      <c r="X306" s="12" t="inlineStr">
        <is>
          <t>Backlog</t>
        </is>
      </c>
      <c r="Y306" s="13">
        <f>IF(X306="Done",1,IF(X306="QA",0.9,IF(X306="Code Review",0.75,IF(X306="In Development",0.5,IF(X306="Ready",0.1,0)))))</f>
        <v/>
      </c>
      <c r="Z306" s="12" t="n"/>
      <c r="AA306" s="12" t="inlineStr">
        <is>
          <t>TC-085-B</t>
        </is>
      </c>
      <c r="AB306" s="12" t="inlineStr">
        <is>
          <t>Approved screen design; story reviewed with Activities Manager; dependencies, API contract, role permissions and test data identified.</t>
        </is>
      </c>
      <c r="AC306" s="12" t="inlineStr">
        <is>
          <t>Code reviewed; unit, API, UI, RBAC and integration tests pass; accessibility and responsive states verified; audit evidence captured; product owner accepts in staging.</t>
        </is>
      </c>
      <c r="AD306" s="12" t="n"/>
    </row>
    <row r="307" ht="78" customHeight="1" s="43">
      <c r="A307" s="11" t="n">
        <v>3</v>
      </c>
      <c r="B307" s="11" t="n">
        <v>303</v>
      </c>
      <c r="C307" s="12" t="inlineStr">
        <is>
          <t>US-085-03</t>
        </is>
      </c>
      <c r="D307" s="12" t="inlineStr">
        <is>
          <t>Control permissions, overrides and audit for Activity Booking Details</t>
        </is>
      </c>
      <c r="E307" s="12" t="inlineStr">
        <is>
          <t>EPIC-09</t>
        </is>
      </c>
      <c r="F307" s="12" t="inlineStr">
        <is>
          <t>Activities</t>
        </is>
      </c>
      <c r="G307" s="12" t="inlineStr">
        <is>
          <t>Bookings</t>
        </is>
      </c>
      <c r="H307" s="11" t="inlineStr">
        <is>
          <t>SCR-085</t>
        </is>
      </c>
      <c r="I307" s="12" t="inlineStr">
        <is>
          <t>Activity Booking Details</t>
        </is>
      </c>
      <c r="J307" s="12" t="inlineStr">
        <is>
          <t>Security / Exceptions</t>
        </is>
      </c>
      <c r="K307" s="12" t="inlineStr">
        <is>
          <t>Activities Manager</t>
        </is>
      </c>
      <c r="L307" s="12" t="inlineStr">
        <is>
          <t>As a department supervisor or auditor, I want sensitive actions in Activity Booking Details to follow permissions, approval limits and audit rules, so that resort operations remain secure, compliant and traceable.</t>
        </is>
      </c>
      <c r="M307" s="12" t="inlineStr">
        <is>
          <t>Reduces fraud, privacy leakage, unauthorized overrides and unresolved operational disputes.</t>
        </is>
      </c>
      <c r="N307" s="12" t="inlineStr">
        <is>
          <t>Roles, permissions, approval hierarchy and audit service are configured; allowed and denied test users exist.</t>
        </is>
      </c>
      <c r="O30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07" s="12" t="inlineStr">
        <is>
          <t>Tampered IDs, expired sessions, approval-limit violations and cross-tenant requests are rejected; secrets and sensitive guest/payment fields are never written to logs.</t>
        </is>
      </c>
      <c r="Q307" s="12" t="inlineStr">
        <is>
          <t>Tenant/property scope; required fields; optimistic locking; timezone-safe dates; reason mandatory for overrides; availability and overlap check; status-transition rules; cancellation policy</t>
        </is>
      </c>
      <c r="R307" s="12" t="inlineStr">
        <is>
          <t>Guests, Resources, Finance</t>
        </is>
      </c>
      <c r="S307" s="12" t="inlineStr">
        <is>
          <t>GET, POST, PUT/PATCH, DELETE /api/v1/activity-booking-details; lookup, validation and audit endpoints; idempotency for financial/booking writes; entities: activities, activity_slots, activity_bookings</t>
        </is>
      </c>
      <c r="T307" s="12" t="inlineStr">
        <is>
          <t>Could Have</t>
        </is>
      </c>
      <c r="U307" s="12" t="inlineStr">
        <is>
          <t>Release 1.2</t>
        </is>
      </c>
      <c r="V307" s="34" t="n">
        <v>3</v>
      </c>
      <c r="W307" s="12" t="inlineStr">
        <is>
          <t>S17-S19</t>
        </is>
      </c>
      <c r="X307" s="12" t="inlineStr">
        <is>
          <t>Backlog</t>
        </is>
      </c>
      <c r="Y307" s="13">
        <f>IF(X307="Done",1,IF(X307="QA",0.9,IF(X307="Code Review",0.75,IF(X307="In Development",0.5,IF(X307="Ready",0.1,0)))))</f>
        <v/>
      </c>
      <c r="Z307" s="12" t="n"/>
      <c r="AA307" s="12" t="inlineStr">
        <is>
          <t>TC-085-C</t>
        </is>
      </c>
      <c r="AB307" s="12" t="inlineStr">
        <is>
          <t>Approved screen design; story reviewed with Activities Manager; dependencies, API contract, role permissions and test data identified.</t>
        </is>
      </c>
      <c r="AC307" s="12" t="inlineStr">
        <is>
          <t>Code reviewed; unit, API, UI, RBAC and integration tests pass; accessibility and responsive states verified; audit evidence captured; product owner accepts in staging.</t>
        </is>
      </c>
      <c r="AD307" s="12" t="n"/>
    </row>
    <row r="308" ht="78" customHeight="1" s="43">
      <c r="A308" s="11" t="n">
        <v>3</v>
      </c>
      <c r="B308" s="11" t="n">
        <v>304</v>
      </c>
      <c r="C308" s="12" t="inlineStr">
        <is>
          <t>US-086-01</t>
        </is>
      </c>
      <c r="D308" s="12" t="inlineStr">
        <is>
          <t>View and find information in Spa Treatment Management</t>
        </is>
      </c>
      <c r="E308" s="12" t="inlineStr">
        <is>
          <t>EPIC-10</t>
        </is>
      </c>
      <c r="F308" s="12" t="inlineStr">
        <is>
          <t>Spa</t>
        </is>
      </c>
      <c r="G308" s="12" t="inlineStr">
        <is>
          <t>Treatment Master</t>
        </is>
      </c>
      <c r="H308" s="11" t="inlineStr">
        <is>
          <t>SCR-086</t>
        </is>
      </c>
      <c r="I308" s="12" t="inlineStr">
        <is>
          <t>Spa Treatment Management</t>
        </is>
      </c>
      <c r="J308" s="12" t="inlineStr">
        <is>
          <t>View / Search</t>
        </is>
      </c>
      <c r="K308" s="12" t="inlineStr">
        <is>
          <t>Spa Manager</t>
        </is>
      </c>
      <c r="L308" s="12" t="inlineStr">
        <is>
          <t>As a Spa Manager, I want to open Spa Treatment Management and find relevant records using search, filters and sorting, so that I can make accurate operational decisions.</t>
        </is>
      </c>
      <c r="M308" s="12" t="inlineStr">
        <is>
          <t>Provides timely visibility for treatment master and reduces manual lookup effort.</t>
        </is>
      </c>
      <c r="N308" s="12" t="inlineStr">
        <is>
          <t>Authenticated user; active property; view permission for Spa; Guests, Workforce, Finance data available.</t>
        </is>
      </c>
      <c r="O308" s="12" t="inlineStr">
        <is>
          <t>Given I am authenticated as Spa Manager with access to the selected property, when I open Spa Treatment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08" s="12" t="inlineStr">
        <is>
          <t>Cross-property data never appears; unauthorized fields are masked; invalid filters do not break the screen; unavailable services return a controlled message.</t>
        </is>
      </c>
      <c r="Q308" s="12" t="inlineStr">
        <is>
          <t>Tenant/property scope; required fields; optimistic locking; timezone-safe dates; reason mandatory for overrides; availability and overlap check; status-transition rules; cancellation policy</t>
        </is>
      </c>
      <c r="R308" s="12" t="inlineStr">
        <is>
          <t>Guests, Workforce, Finance</t>
        </is>
      </c>
      <c r="S308" s="12" t="inlineStr">
        <is>
          <t>GET, POST, PUT/PATCH, DELETE /api/v1/spa-treatment-management; lookup, validation and audit endpoints; idempotency for financial/booking writes; entities: treatments, spa_resources, spa_appointments</t>
        </is>
      </c>
      <c r="T308" s="12" t="inlineStr">
        <is>
          <t>Could Have</t>
        </is>
      </c>
      <c r="U308" s="12" t="inlineStr">
        <is>
          <t>Release 1.2</t>
        </is>
      </c>
      <c r="V308" s="34" t="n">
        <v>3</v>
      </c>
      <c r="W308" s="12" t="inlineStr">
        <is>
          <t>S17-S19</t>
        </is>
      </c>
      <c r="X308" s="12" t="inlineStr">
        <is>
          <t>Backlog</t>
        </is>
      </c>
      <c r="Y308" s="13">
        <f>IF(X308="Done",1,IF(X308="QA",0.9,IF(X308="Code Review",0.75,IF(X308="In Development",0.5,IF(X308="Ready",0.1,0)))))</f>
        <v/>
      </c>
      <c r="Z308" s="12" t="n"/>
      <c r="AA308" s="12" t="inlineStr">
        <is>
          <t>TC-086-A</t>
        </is>
      </c>
      <c r="AB308" s="12" t="inlineStr">
        <is>
          <t>Approved screen design; story reviewed with Spa Manager; dependencies, API contract, role permissions and test data identified.</t>
        </is>
      </c>
      <c r="AC308" s="12" t="inlineStr">
        <is>
          <t>Code reviewed; unit, API, UI, RBAC and integration tests pass; accessibility and responsive states verified; audit evidence captured; product owner accepts in staging.</t>
        </is>
      </c>
      <c r="AD308" s="12" t="n"/>
    </row>
    <row r="309" ht="78" customHeight="1" s="43">
      <c r="A309" s="11" t="n">
        <v>3</v>
      </c>
      <c r="B309" s="11" t="n">
        <v>305</v>
      </c>
      <c r="C309" s="12" t="inlineStr">
        <is>
          <t>US-086-02</t>
        </is>
      </c>
      <c r="D309" s="12" t="inlineStr">
        <is>
          <t>Complete the primary Spa Treatment Management workflow</t>
        </is>
      </c>
      <c r="E309" s="12" t="inlineStr">
        <is>
          <t>EPIC-10</t>
        </is>
      </c>
      <c r="F309" s="12" t="inlineStr">
        <is>
          <t>Spa</t>
        </is>
      </c>
      <c r="G309" s="12" t="inlineStr">
        <is>
          <t>Treatment Master</t>
        </is>
      </c>
      <c r="H309" s="11" t="inlineStr">
        <is>
          <t>SCR-086</t>
        </is>
      </c>
      <c r="I309" s="12" t="inlineStr">
        <is>
          <t>Spa Treatment Management</t>
        </is>
      </c>
      <c r="J309" s="12" t="inlineStr">
        <is>
          <t>Primary Workflow</t>
        </is>
      </c>
      <c r="K309" s="12" t="inlineStr">
        <is>
          <t>Spa Manager</t>
        </is>
      </c>
      <c r="L309" s="12" t="inlineStr">
        <is>
          <t>As a Spa Manager, I want to list, view, create, edit, activate/deactivate, delete where safe in Spa Treatment Management, so that the treatment master process is completed accurately without duplicate or inconsistent records.</t>
        </is>
      </c>
      <c r="M309" s="12" t="inlineStr">
        <is>
          <t>Enable spa users to manage treatment master through the Spa Treatment Management workflow with real-time status, validations and traceability.</t>
        </is>
      </c>
      <c r="N309" s="12" t="inlineStr">
        <is>
          <t>View access confirmed; required masters and linked records exist; Guests, Workforce, Finance services are available; approval limit is valid.</t>
        </is>
      </c>
      <c r="O30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spa treatment management workflow; invalid or conflicting actions are blocked with clear messages; saved changes appear in related screens; sensitive changes are auditable.</t>
        </is>
      </c>
      <c r="P309" s="12" t="inlineStr">
        <is>
          <t>Duplicate submission is idempotent; stale data returns a refresh/conflict message; invalid status transitions are blocked; partial failure rolls back without orphan records.</t>
        </is>
      </c>
      <c r="Q309" s="12" t="inlineStr">
        <is>
          <t>Tenant/property scope; required fields; optimistic locking; timezone-safe dates; reason mandatory for overrides; availability and overlap check; status-transition rules; cancellation policy</t>
        </is>
      </c>
      <c r="R309" s="12" t="inlineStr">
        <is>
          <t>Guests, Workforce, Finance</t>
        </is>
      </c>
      <c r="S309" s="12" t="inlineStr">
        <is>
          <t>GET, POST, PUT/PATCH, DELETE /api/v1/spa-treatment-management; lookup, validation and audit endpoints; idempotency for financial/booking writes; entities: treatments, spa_resources, spa_appointments</t>
        </is>
      </c>
      <c r="T309" s="12" t="inlineStr">
        <is>
          <t>Could Have</t>
        </is>
      </c>
      <c r="U309" s="12" t="inlineStr">
        <is>
          <t>Release 1.2</t>
        </is>
      </c>
      <c r="V309" s="34" t="n">
        <v>5</v>
      </c>
      <c r="W309" s="12" t="inlineStr">
        <is>
          <t>S17-S19</t>
        </is>
      </c>
      <c r="X309" s="12" t="inlineStr">
        <is>
          <t>Backlog</t>
        </is>
      </c>
      <c r="Y309" s="13">
        <f>IF(X309="Done",1,IF(X309="QA",0.9,IF(X309="Code Review",0.75,IF(X309="In Development",0.5,IF(X309="Ready",0.1,0)))))</f>
        <v/>
      </c>
      <c r="Z309" s="12" t="n"/>
      <c r="AA309" s="12" t="inlineStr">
        <is>
          <t>TC-086-B</t>
        </is>
      </c>
      <c r="AB309" s="12" t="inlineStr">
        <is>
          <t>Approved screen design; story reviewed with Spa Manager; dependencies, API contract, role permissions and test data identified.</t>
        </is>
      </c>
      <c r="AC309" s="12" t="inlineStr">
        <is>
          <t>Code reviewed; unit, API, UI, RBAC and integration tests pass; accessibility and responsive states verified; audit evidence captured; product owner accepts in staging.</t>
        </is>
      </c>
      <c r="AD309" s="12" t="n"/>
    </row>
    <row r="310" ht="78" customHeight="1" s="43">
      <c r="A310" s="11" t="n">
        <v>3</v>
      </c>
      <c r="B310" s="11" t="n">
        <v>306</v>
      </c>
      <c r="C310" s="12" t="inlineStr">
        <is>
          <t>US-086-03</t>
        </is>
      </c>
      <c r="D310" s="12" t="inlineStr">
        <is>
          <t>Control permissions, overrides and audit for Spa Treatment Management</t>
        </is>
      </c>
      <c r="E310" s="12" t="inlineStr">
        <is>
          <t>EPIC-10</t>
        </is>
      </c>
      <c r="F310" s="12" t="inlineStr">
        <is>
          <t>Spa</t>
        </is>
      </c>
      <c r="G310" s="12" t="inlineStr">
        <is>
          <t>Treatment Master</t>
        </is>
      </c>
      <c r="H310" s="11" t="inlineStr">
        <is>
          <t>SCR-086</t>
        </is>
      </c>
      <c r="I310" s="12" t="inlineStr">
        <is>
          <t>Spa Treatment Management</t>
        </is>
      </c>
      <c r="J310" s="12" t="inlineStr">
        <is>
          <t>Security / Exceptions</t>
        </is>
      </c>
      <c r="K310" s="12" t="inlineStr">
        <is>
          <t>Spa Manager</t>
        </is>
      </c>
      <c r="L310" s="12" t="inlineStr">
        <is>
          <t>As a department supervisor or auditor, I want sensitive actions in Spa Treatment Management to follow permissions, approval limits and audit rules, so that resort operations remain secure, compliant and traceable.</t>
        </is>
      </c>
      <c r="M310" s="12" t="inlineStr">
        <is>
          <t>Reduces fraud, privacy leakage, unauthorized overrides and unresolved operational disputes.</t>
        </is>
      </c>
      <c r="N310" s="12" t="inlineStr">
        <is>
          <t>Roles, permissions, approval hierarchy and audit service are configured; allowed and denied test users exist.</t>
        </is>
      </c>
      <c r="O31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10" s="12" t="inlineStr">
        <is>
          <t>Tampered IDs, expired sessions, approval-limit violations and cross-tenant requests are rejected; secrets and sensitive guest/payment fields are never written to logs.</t>
        </is>
      </c>
      <c r="Q310" s="12" t="inlineStr">
        <is>
          <t>Tenant/property scope; required fields; optimistic locking; timezone-safe dates; reason mandatory for overrides; availability and overlap check; status-transition rules; cancellation policy</t>
        </is>
      </c>
      <c r="R310" s="12" t="inlineStr">
        <is>
          <t>Guests, Workforce, Finance</t>
        </is>
      </c>
      <c r="S310" s="12" t="inlineStr">
        <is>
          <t>GET, POST, PUT/PATCH, DELETE /api/v1/spa-treatment-management; lookup, validation and audit endpoints; idempotency for financial/booking writes; entities: treatments, spa_resources, spa_appointments</t>
        </is>
      </c>
      <c r="T310" s="12" t="inlineStr">
        <is>
          <t>Could Have</t>
        </is>
      </c>
      <c r="U310" s="12" t="inlineStr">
        <is>
          <t>Release 1.2</t>
        </is>
      </c>
      <c r="V310" s="34" t="n">
        <v>3</v>
      </c>
      <c r="W310" s="12" t="inlineStr">
        <is>
          <t>S17-S19</t>
        </is>
      </c>
      <c r="X310" s="12" t="inlineStr">
        <is>
          <t>Backlog</t>
        </is>
      </c>
      <c r="Y310" s="13">
        <f>IF(X310="Done",1,IF(X310="QA",0.9,IF(X310="Code Review",0.75,IF(X310="In Development",0.5,IF(X310="Ready",0.1,0)))))</f>
        <v/>
      </c>
      <c r="Z310" s="12" t="n"/>
      <c r="AA310" s="12" t="inlineStr">
        <is>
          <t>TC-086-C</t>
        </is>
      </c>
      <c r="AB310" s="12" t="inlineStr">
        <is>
          <t>Approved screen design; story reviewed with Spa Manager; dependencies, API contract, role permissions and test data identified.</t>
        </is>
      </c>
      <c r="AC310" s="12" t="inlineStr">
        <is>
          <t>Code reviewed; unit, API, UI, RBAC and integration tests pass; accessibility and responsive states verified; audit evidence captured; product owner accepts in staging.</t>
        </is>
      </c>
      <c r="AD310" s="12" t="n"/>
    </row>
    <row r="311" ht="78" customHeight="1" s="43">
      <c r="A311" s="11" t="n">
        <v>3</v>
      </c>
      <c r="B311" s="11" t="n">
        <v>307</v>
      </c>
      <c r="C311" s="12" t="inlineStr">
        <is>
          <t>US-087-01</t>
        </is>
      </c>
      <c r="D311" s="12" t="inlineStr">
        <is>
          <t>View and find information in Therapist and Resource Scheduling</t>
        </is>
      </c>
      <c r="E311" s="12" t="inlineStr">
        <is>
          <t>EPIC-10</t>
        </is>
      </c>
      <c r="F311" s="12" t="inlineStr">
        <is>
          <t>Spa</t>
        </is>
      </c>
      <c r="G311" s="12" t="inlineStr">
        <is>
          <t>Resources</t>
        </is>
      </c>
      <c r="H311" s="11" t="inlineStr">
        <is>
          <t>SCR-087</t>
        </is>
      </c>
      <c r="I311" s="12" t="inlineStr">
        <is>
          <t>Therapist and Resource Scheduling</t>
        </is>
      </c>
      <c r="J311" s="12" t="inlineStr">
        <is>
          <t>View / Search</t>
        </is>
      </c>
      <c r="K311" s="12" t="inlineStr">
        <is>
          <t>Spa Manager</t>
        </is>
      </c>
      <c r="L311" s="12" t="inlineStr">
        <is>
          <t>As a Spa Manager, I want to open Therapist and Resource Scheduling and find relevant records using search, filters and sorting, so that I can make accurate operational decisions.</t>
        </is>
      </c>
      <c r="M311" s="12" t="inlineStr">
        <is>
          <t>Provides timely visibility for resources and reduces manual lookup effort.</t>
        </is>
      </c>
      <c r="N311" s="12" t="inlineStr">
        <is>
          <t>Authenticated user; active property; view permission for Spa; Guests, Workforce, Finance data available.</t>
        </is>
      </c>
      <c r="O311" s="12" t="inlineStr">
        <is>
          <t>Given I am authenticated as Spa Manager with access to the selected property, when I open Therapist and Resource Scheduling,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11" s="12" t="inlineStr">
        <is>
          <t>Cross-property data never appears; unauthorized fields are masked; invalid filters do not break the screen; unavailable services return a controlled message.</t>
        </is>
      </c>
      <c r="Q311" s="12" t="inlineStr">
        <is>
          <t>Tenant/property scope; required fields; optimistic locking; timezone-safe dates; reason mandatory for overrides; availability and overlap check; status-transition rules; cancellation policy</t>
        </is>
      </c>
      <c r="R311" s="12" t="inlineStr">
        <is>
          <t>Guests, Workforce, Finance</t>
        </is>
      </c>
      <c r="S311" s="12" t="inlineStr">
        <is>
          <t>GET, POST, PUT/PATCH, DELETE /api/v1/therapist-and-resource-scheduling; lookup, validation and audit endpoints; idempotency for financial/booking writes; entities: treatments, spa_resources, spa_appointments</t>
        </is>
      </c>
      <c r="T311" s="12" t="inlineStr">
        <is>
          <t>Could Have</t>
        </is>
      </c>
      <c r="U311" s="12" t="inlineStr">
        <is>
          <t>Release 1.2</t>
        </is>
      </c>
      <c r="V311" s="34" t="n">
        <v>3</v>
      </c>
      <c r="W311" s="12" t="inlineStr">
        <is>
          <t>S17-S19</t>
        </is>
      </c>
      <c r="X311" s="12" t="inlineStr">
        <is>
          <t>Backlog</t>
        </is>
      </c>
      <c r="Y311" s="13">
        <f>IF(X311="Done",1,IF(X311="QA",0.9,IF(X311="Code Review",0.75,IF(X311="In Development",0.5,IF(X311="Ready",0.1,0)))))</f>
        <v/>
      </c>
      <c r="Z311" s="12" t="n"/>
      <c r="AA311" s="12" t="inlineStr">
        <is>
          <t>TC-087-A</t>
        </is>
      </c>
      <c r="AB311" s="12" t="inlineStr">
        <is>
          <t>Approved screen design; story reviewed with Spa Manager; dependencies, API contract, role permissions and test data identified.</t>
        </is>
      </c>
      <c r="AC311" s="12" t="inlineStr">
        <is>
          <t>Code reviewed; unit, API, UI, RBAC and integration tests pass; accessibility and responsive states verified; audit evidence captured; product owner accepts in staging.</t>
        </is>
      </c>
      <c r="AD311" s="12" t="n"/>
    </row>
    <row r="312" ht="78" customHeight="1" s="43">
      <c r="A312" s="11" t="n">
        <v>3</v>
      </c>
      <c r="B312" s="11" t="n">
        <v>308</v>
      </c>
      <c r="C312" s="12" t="inlineStr">
        <is>
          <t>US-087-02</t>
        </is>
      </c>
      <c r="D312" s="12" t="inlineStr">
        <is>
          <t>Complete the primary Therapist and Resource Scheduling workflow</t>
        </is>
      </c>
      <c r="E312" s="12" t="inlineStr">
        <is>
          <t>EPIC-10</t>
        </is>
      </c>
      <c r="F312" s="12" t="inlineStr">
        <is>
          <t>Spa</t>
        </is>
      </c>
      <c r="G312" s="12" t="inlineStr">
        <is>
          <t>Resources</t>
        </is>
      </c>
      <c r="H312" s="11" t="inlineStr">
        <is>
          <t>SCR-087</t>
        </is>
      </c>
      <c r="I312" s="12" t="inlineStr">
        <is>
          <t>Therapist and Resource Scheduling</t>
        </is>
      </c>
      <c r="J312" s="12" t="inlineStr">
        <is>
          <t>Primary Workflow</t>
        </is>
      </c>
      <c r="K312" s="12" t="inlineStr">
        <is>
          <t>Spa Manager</t>
        </is>
      </c>
      <c r="L312" s="12" t="inlineStr">
        <is>
          <t>As a Spa Manager, I want to list, search, filter, view, create, edit, cancel/delete under policy, export in Therapist and Resource Scheduling, so that the resources process is completed accurately without duplicate or inconsistent records.</t>
        </is>
      </c>
      <c r="M312" s="12" t="inlineStr">
        <is>
          <t>Enable spa users to manage resources through the Therapist and Resource Scheduling workflow with real-time status, validations and traceability.</t>
        </is>
      </c>
      <c r="N312" s="12" t="inlineStr">
        <is>
          <t>View access confirmed; required masters and linked records exist; Guests, Workforce, Finance services are available; approval limit is valid.</t>
        </is>
      </c>
      <c r="O31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therapist and resource scheduling workflow; invalid or conflicting actions are blocked with clear messages; saved changes appear in related screens; sensitive changes are auditable.</t>
        </is>
      </c>
      <c r="P312" s="12" t="inlineStr">
        <is>
          <t>Duplicate submission is idempotent; stale data returns a refresh/conflict message; invalid status transitions are blocked; partial failure rolls back without orphan records.</t>
        </is>
      </c>
      <c r="Q312" s="12" t="inlineStr">
        <is>
          <t>Tenant/property scope; required fields; optimistic locking; timezone-safe dates; reason mandatory for overrides; availability and overlap check; status-transition rules; cancellation policy</t>
        </is>
      </c>
      <c r="R312" s="12" t="inlineStr">
        <is>
          <t>Guests, Workforce, Finance</t>
        </is>
      </c>
      <c r="S312" s="12" t="inlineStr">
        <is>
          <t>GET, POST, PUT/PATCH, DELETE /api/v1/therapist-and-resource-scheduling; lookup, validation and audit endpoints; idempotency for financial/booking writes; entities: treatments, spa_resources, spa_appointments</t>
        </is>
      </c>
      <c r="T312" s="12" t="inlineStr">
        <is>
          <t>Could Have</t>
        </is>
      </c>
      <c r="U312" s="12" t="inlineStr">
        <is>
          <t>Release 1.2</t>
        </is>
      </c>
      <c r="V312" s="34" t="n">
        <v>5</v>
      </c>
      <c r="W312" s="12" t="inlineStr">
        <is>
          <t>S17-S19</t>
        </is>
      </c>
      <c r="X312" s="12" t="inlineStr">
        <is>
          <t>Backlog</t>
        </is>
      </c>
      <c r="Y312" s="13">
        <f>IF(X312="Done",1,IF(X312="QA",0.9,IF(X312="Code Review",0.75,IF(X312="In Development",0.5,IF(X312="Ready",0.1,0)))))</f>
        <v/>
      </c>
      <c r="Z312" s="12" t="n"/>
      <c r="AA312" s="12" t="inlineStr">
        <is>
          <t>TC-087-B</t>
        </is>
      </c>
      <c r="AB312" s="12" t="inlineStr">
        <is>
          <t>Approved screen design; story reviewed with Spa Manager; dependencies, API contract, role permissions and test data identified.</t>
        </is>
      </c>
      <c r="AC312" s="12" t="inlineStr">
        <is>
          <t>Code reviewed; unit, API, UI, RBAC and integration tests pass; accessibility and responsive states verified; audit evidence captured; product owner accepts in staging.</t>
        </is>
      </c>
      <c r="AD312" s="12" t="n"/>
    </row>
    <row r="313" ht="78" customHeight="1" s="43">
      <c r="A313" s="11" t="n">
        <v>3</v>
      </c>
      <c r="B313" s="11" t="n">
        <v>309</v>
      </c>
      <c r="C313" s="12" t="inlineStr">
        <is>
          <t>US-087-03</t>
        </is>
      </c>
      <c r="D313" s="12" t="inlineStr">
        <is>
          <t>Control permissions, overrides and audit for Therapist and Resource Scheduling</t>
        </is>
      </c>
      <c r="E313" s="12" t="inlineStr">
        <is>
          <t>EPIC-10</t>
        </is>
      </c>
      <c r="F313" s="12" t="inlineStr">
        <is>
          <t>Spa</t>
        </is>
      </c>
      <c r="G313" s="12" t="inlineStr">
        <is>
          <t>Resources</t>
        </is>
      </c>
      <c r="H313" s="11" t="inlineStr">
        <is>
          <t>SCR-087</t>
        </is>
      </c>
      <c r="I313" s="12" t="inlineStr">
        <is>
          <t>Therapist and Resource Scheduling</t>
        </is>
      </c>
      <c r="J313" s="12" t="inlineStr">
        <is>
          <t>Security / Exceptions</t>
        </is>
      </c>
      <c r="K313" s="12" t="inlineStr">
        <is>
          <t>Spa Manager</t>
        </is>
      </c>
      <c r="L313" s="12" t="inlineStr">
        <is>
          <t>As a department supervisor or auditor, I want sensitive actions in Therapist and Resource Scheduling to follow permissions, approval limits and audit rules, so that resort operations remain secure, compliant and traceable.</t>
        </is>
      </c>
      <c r="M313" s="12" t="inlineStr">
        <is>
          <t>Reduces fraud, privacy leakage, unauthorized overrides and unresolved operational disputes.</t>
        </is>
      </c>
      <c r="N313" s="12" t="inlineStr">
        <is>
          <t>Roles, permissions, approval hierarchy and audit service are configured; allowed and denied test users exist.</t>
        </is>
      </c>
      <c r="O31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13" s="12" t="inlineStr">
        <is>
          <t>Tampered IDs, expired sessions, approval-limit violations and cross-tenant requests are rejected; secrets and sensitive guest/payment fields are never written to logs.</t>
        </is>
      </c>
      <c r="Q313" s="12" t="inlineStr">
        <is>
          <t>Tenant/property scope; required fields; optimistic locking; timezone-safe dates; reason mandatory for overrides; availability and overlap check; status-transition rules; cancellation policy</t>
        </is>
      </c>
      <c r="R313" s="12" t="inlineStr">
        <is>
          <t>Guests, Workforce, Finance</t>
        </is>
      </c>
      <c r="S313" s="12" t="inlineStr">
        <is>
          <t>GET, POST, PUT/PATCH, DELETE /api/v1/therapist-and-resource-scheduling; lookup, validation and audit endpoints; idempotency for financial/booking writes; entities: treatments, spa_resources, spa_appointments</t>
        </is>
      </c>
      <c r="T313" s="12" t="inlineStr">
        <is>
          <t>Could Have</t>
        </is>
      </c>
      <c r="U313" s="12" t="inlineStr">
        <is>
          <t>Release 1.2</t>
        </is>
      </c>
      <c r="V313" s="34" t="n">
        <v>3</v>
      </c>
      <c r="W313" s="12" t="inlineStr">
        <is>
          <t>S17-S19</t>
        </is>
      </c>
      <c r="X313" s="12" t="inlineStr">
        <is>
          <t>Backlog</t>
        </is>
      </c>
      <c r="Y313" s="13">
        <f>IF(X313="Done",1,IF(X313="QA",0.9,IF(X313="Code Review",0.75,IF(X313="In Development",0.5,IF(X313="Ready",0.1,0)))))</f>
        <v/>
      </c>
      <c r="Z313" s="12" t="n"/>
      <c r="AA313" s="12" t="inlineStr">
        <is>
          <t>TC-087-C</t>
        </is>
      </c>
      <c r="AB313" s="12" t="inlineStr">
        <is>
          <t>Approved screen design; story reviewed with Spa Manager; dependencies, API contract, role permissions and test data identified.</t>
        </is>
      </c>
      <c r="AC313" s="12" t="inlineStr">
        <is>
          <t>Code reviewed; unit, API, UI, RBAC and integration tests pass; accessibility and responsive states verified; audit evidence captured; product owner accepts in staging.</t>
        </is>
      </c>
      <c r="AD313" s="12" t="n"/>
    </row>
    <row r="314" ht="78" customHeight="1" s="43">
      <c r="A314" s="11" t="n">
        <v>3</v>
      </c>
      <c r="B314" s="11" t="n">
        <v>310</v>
      </c>
      <c r="C314" s="12" t="inlineStr">
        <is>
          <t>US-088-01</t>
        </is>
      </c>
      <c r="D314" s="12" t="inlineStr">
        <is>
          <t>View and find information in Create or Edit Spa Appointment</t>
        </is>
      </c>
      <c r="E314" s="12" t="inlineStr">
        <is>
          <t>EPIC-10</t>
        </is>
      </c>
      <c r="F314" s="12" t="inlineStr">
        <is>
          <t>Spa</t>
        </is>
      </c>
      <c r="G314" s="12" t="inlineStr">
        <is>
          <t>Appointments</t>
        </is>
      </c>
      <c r="H314" s="11" t="inlineStr">
        <is>
          <t>SCR-088</t>
        </is>
      </c>
      <c r="I314" s="12" t="inlineStr">
        <is>
          <t>Create or Edit Spa Appointment</t>
        </is>
      </c>
      <c r="J314" s="12" t="inlineStr">
        <is>
          <t>View / Search</t>
        </is>
      </c>
      <c r="K314" s="12" t="inlineStr">
        <is>
          <t>Spa Manager</t>
        </is>
      </c>
      <c r="L314" s="12" t="inlineStr">
        <is>
          <t>As a Spa Manager, I want to open Create or Edit Spa Appointment and find relevant records using search, filters and sorting, so that I can make accurate operational decisions.</t>
        </is>
      </c>
      <c r="M314" s="12" t="inlineStr">
        <is>
          <t>Provides timely visibility for appointments and reduces manual lookup effort.</t>
        </is>
      </c>
      <c r="N314" s="12" t="inlineStr">
        <is>
          <t>Authenticated user; active property; view permission for Spa; Guests, Workforce, Finance data available.</t>
        </is>
      </c>
      <c r="O314" s="12" t="inlineStr">
        <is>
          <t>Given I am authenticated as Spa Manager with access to the selected property, when I open Create or Edit Spa Appointment,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14" s="12" t="inlineStr">
        <is>
          <t>Cross-property data never appears; unauthorized fields are masked; invalid filters do not break the screen; unavailable services return a controlled message.</t>
        </is>
      </c>
      <c r="Q314" s="12" t="inlineStr">
        <is>
          <t>Tenant/property scope; required fields; optimistic locking; timezone-safe dates; reason mandatory for overrides; availability and overlap check; status-transition rules; cancellation policy</t>
        </is>
      </c>
      <c r="R314" s="12" t="inlineStr">
        <is>
          <t>Guests, Workforce, Finance</t>
        </is>
      </c>
      <c r="S314" s="12" t="inlineStr">
        <is>
          <t>GET, POST, PUT/PATCH, DELETE /api/v1/create-or-edit-spa-appointment; lookup, validation and audit endpoints; idempotency for financial/booking writes; entities: treatments, spa_resources, spa_appointments</t>
        </is>
      </c>
      <c r="T314" s="12" t="inlineStr">
        <is>
          <t>Could Have</t>
        </is>
      </c>
      <c r="U314" s="12" t="inlineStr">
        <is>
          <t>Release 1.2</t>
        </is>
      </c>
      <c r="V314" s="34" t="n">
        <v>3</v>
      </c>
      <c r="W314" s="12" t="inlineStr">
        <is>
          <t>S17-S19</t>
        </is>
      </c>
      <c r="X314" s="12" t="inlineStr">
        <is>
          <t>Backlog</t>
        </is>
      </c>
      <c r="Y314" s="13">
        <f>IF(X314="Done",1,IF(X314="QA",0.9,IF(X314="Code Review",0.75,IF(X314="In Development",0.5,IF(X314="Ready",0.1,0)))))</f>
        <v/>
      </c>
      <c r="Z314" s="12" t="n"/>
      <c r="AA314" s="12" t="inlineStr">
        <is>
          <t>TC-088-A</t>
        </is>
      </c>
      <c r="AB314" s="12" t="inlineStr">
        <is>
          <t>Approved screen design; story reviewed with Spa Manager; dependencies, API contract, role permissions and test data identified.</t>
        </is>
      </c>
      <c r="AC314" s="12" t="inlineStr">
        <is>
          <t>Code reviewed; unit, API, UI, RBAC and integration tests pass; accessibility and responsive states verified; audit evidence captured; product owner accepts in staging.</t>
        </is>
      </c>
      <c r="AD314" s="12" t="n"/>
    </row>
    <row r="315" ht="78" customHeight="1" s="43">
      <c r="A315" s="11" t="n">
        <v>3</v>
      </c>
      <c r="B315" s="11" t="n">
        <v>311</v>
      </c>
      <c r="C315" s="12" t="inlineStr">
        <is>
          <t>US-088-02</t>
        </is>
      </c>
      <c r="D315" s="12" t="inlineStr">
        <is>
          <t>Complete the primary Create or Edit Spa Appointment workflow</t>
        </is>
      </c>
      <c r="E315" s="12" t="inlineStr">
        <is>
          <t>EPIC-10</t>
        </is>
      </c>
      <c r="F315" s="12" t="inlineStr">
        <is>
          <t>Spa</t>
        </is>
      </c>
      <c r="G315" s="12" t="inlineStr">
        <is>
          <t>Appointments</t>
        </is>
      </c>
      <c r="H315" s="11" t="inlineStr">
        <is>
          <t>SCR-088</t>
        </is>
      </c>
      <c r="I315" s="12" t="inlineStr">
        <is>
          <t>Create or Edit Spa Appointment</t>
        </is>
      </c>
      <c r="J315" s="12" t="inlineStr">
        <is>
          <t>Primary Workflow</t>
        </is>
      </c>
      <c r="K315" s="12" t="inlineStr">
        <is>
          <t>Spa Manager</t>
        </is>
      </c>
      <c r="L315" s="12" t="inlineStr">
        <is>
          <t>As a Spa Manager, I want to list, view, create, edit, activate/deactivate, delete where safe in Create or Edit Spa Appointment, so that the appointments process is completed accurately without duplicate or inconsistent records.</t>
        </is>
      </c>
      <c r="M315" s="12" t="inlineStr">
        <is>
          <t>Enable spa users to manage appointments through the Create or Edit Spa Appointment workflow with real-time status, validations and traceability.</t>
        </is>
      </c>
      <c r="N315" s="12" t="inlineStr">
        <is>
          <t>View access confirmed; required masters and linked records exist; Guests, Workforce, Finance services are available; approval limit is valid.</t>
        </is>
      </c>
      <c r="O31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or edit spa appointment workflow; invalid or conflicting actions are blocked with clear messages; saved changes appear in related screens; sensitive changes are auditable.</t>
        </is>
      </c>
      <c r="P315" s="12" t="inlineStr">
        <is>
          <t>Duplicate submission is idempotent; stale data returns a refresh/conflict message; invalid status transitions are blocked; partial failure rolls back without orphan records.</t>
        </is>
      </c>
      <c r="Q315" s="12" t="inlineStr">
        <is>
          <t>Tenant/property scope; required fields; optimistic locking; timezone-safe dates; reason mandatory for overrides; availability and overlap check; status-transition rules; cancellation policy</t>
        </is>
      </c>
      <c r="R315" s="12" t="inlineStr">
        <is>
          <t>Guests, Workforce, Finance</t>
        </is>
      </c>
      <c r="S315" s="12" t="inlineStr">
        <is>
          <t>GET, POST, PUT/PATCH, DELETE /api/v1/create-or-edit-spa-appointment; lookup, validation and audit endpoints; idempotency for financial/booking writes; entities: treatments, spa_resources, spa_appointments</t>
        </is>
      </c>
      <c r="T315" s="12" t="inlineStr">
        <is>
          <t>Could Have</t>
        </is>
      </c>
      <c r="U315" s="12" t="inlineStr">
        <is>
          <t>Release 1.2</t>
        </is>
      </c>
      <c r="V315" s="34" t="n">
        <v>5</v>
      </c>
      <c r="W315" s="12" t="inlineStr">
        <is>
          <t>S17-S19</t>
        </is>
      </c>
      <c r="X315" s="12" t="inlineStr">
        <is>
          <t>Backlog</t>
        </is>
      </c>
      <c r="Y315" s="13">
        <f>IF(X315="Done",1,IF(X315="QA",0.9,IF(X315="Code Review",0.75,IF(X315="In Development",0.5,IF(X315="Ready",0.1,0)))))</f>
        <v/>
      </c>
      <c r="Z315" s="12" t="n"/>
      <c r="AA315" s="12" t="inlineStr">
        <is>
          <t>TC-088-B</t>
        </is>
      </c>
      <c r="AB315" s="12" t="inlineStr">
        <is>
          <t>Approved screen design; story reviewed with Spa Manager; dependencies, API contract, role permissions and test data identified.</t>
        </is>
      </c>
      <c r="AC315" s="12" t="inlineStr">
        <is>
          <t>Code reviewed; unit, API, UI, RBAC and integration tests pass; accessibility and responsive states verified; audit evidence captured; product owner accepts in staging.</t>
        </is>
      </c>
      <c r="AD315" s="12" t="n"/>
    </row>
    <row r="316" ht="78" customHeight="1" s="43">
      <c r="A316" s="11" t="n">
        <v>3</v>
      </c>
      <c r="B316" s="11" t="n">
        <v>312</v>
      </c>
      <c r="C316" s="12" t="inlineStr">
        <is>
          <t>US-088-03</t>
        </is>
      </c>
      <c r="D316" s="12" t="inlineStr">
        <is>
          <t>Control permissions, overrides and audit for Create or Edit Spa Appointment</t>
        </is>
      </c>
      <c r="E316" s="12" t="inlineStr">
        <is>
          <t>EPIC-10</t>
        </is>
      </c>
      <c r="F316" s="12" t="inlineStr">
        <is>
          <t>Spa</t>
        </is>
      </c>
      <c r="G316" s="12" t="inlineStr">
        <is>
          <t>Appointments</t>
        </is>
      </c>
      <c r="H316" s="11" t="inlineStr">
        <is>
          <t>SCR-088</t>
        </is>
      </c>
      <c r="I316" s="12" t="inlineStr">
        <is>
          <t>Create or Edit Spa Appointment</t>
        </is>
      </c>
      <c r="J316" s="12" t="inlineStr">
        <is>
          <t>Security / Exceptions</t>
        </is>
      </c>
      <c r="K316" s="12" t="inlineStr">
        <is>
          <t>Spa Manager</t>
        </is>
      </c>
      <c r="L316" s="12" t="inlineStr">
        <is>
          <t>As a department supervisor or auditor, I want sensitive actions in Create or Edit Spa Appointment to follow permissions, approval limits and audit rules, so that resort operations remain secure, compliant and traceable.</t>
        </is>
      </c>
      <c r="M316" s="12" t="inlineStr">
        <is>
          <t>Reduces fraud, privacy leakage, unauthorized overrides and unresolved operational disputes.</t>
        </is>
      </c>
      <c r="N316" s="12" t="inlineStr">
        <is>
          <t>Roles, permissions, approval hierarchy and audit service are configured; allowed and denied test users exist.</t>
        </is>
      </c>
      <c r="O31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16" s="12" t="inlineStr">
        <is>
          <t>Tampered IDs, expired sessions, approval-limit violations and cross-tenant requests are rejected; secrets and sensitive guest/payment fields are never written to logs.</t>
        </is>
      </c>
      <c r="Q316" s="12" t="inlineStr">
        <is>
          <t>Tenant/property scope; required fields; optimistic locking; timezone-safe dates; reason mandatory for overrides; availability and overlap check; status-transition rules; cancellation policy</t>
        </is>
      </c>
      <c r="R316" s="12" t="inlineStr">
        <is>
          <t>Guests, Workforce, Finance</t>
        </is>
      </c>
      <c r="S316" s="12" t="inlineStr">
        <is>
          <t>GET, POST, PUT/PATCH, DELETE /api/v1/create-or-edit-spa-appointment; lookup, validation and audit endpoints; idempotency for financial/booking writes; entities: treatments, spa_resources, spa_appointments</t>
        </is>
      </c>
      <c r="T316" s="12" t="inlineStr">
        <is>
          <t>Could Have</t>
        </is>
      </c>
      <c r="U316" s="12" t="inlineStr">
        <is>
          <t>Release 1.2</t>
        </is>
      </c>
      <c r="V316" s="34" t="n">
        <v>3</v>
      </c>
      <c r="W316" s="12" t="inlineStr">
        <is>
          <t>S17-S19</t>
        </is>
      </c>
      <c r="X316" s="12" t="inlineStr">
        <is>
          <t>Backlog</t>
        </is>
      </c>
      <c r="Y316" s="13">
        <f>IF(X316="Done",1,IF(X316="QA",0.9,IF(X316="Code Review",0.75,IF(X316="In Development",0.5,IF(X316="Ready",0.1,0)))))</f>
        <v/>
      </c>
      <c r="Z316" s="12" t="n"/>
      <c r="AA316" s="12" t="inlineStr">
        <is>
          <t>TC-088-C</t>
        </is>
      </c>
      <c r="AB316" s="12" t="inlineStr">
        <is>
          <t>Approved screen design; story reviewed with Spa Manager; dependencies, API contract, role permissions and test data identified.</t>
        </is>
      </c>
      <c r="AC316" s="12" t="inlineStr">
        <is>
          <t>Code reviewed; unit, API, UI, RBAC and integration tests pass; accessibility and responsive states verified; audit evidence captured; product owner accepts in staging.</t>
        </is>
      </c>
      <c r="AD316" s="12" t="n"/>
    </row>
    <row r="317" ht="78" customHeight="1" s="43">
      <c r="A317" s="11" t="n">
        <v>3</v>
      </c>
      <c r="B317" s="11" t="n">
        <v>313</v>
      </c>
      <c r="C317" s="12" t="inlineStr">
        <is>
          <t>US-089-01</t>
        </is>
      </c>
      <c r="D317" s="12" t="inlineStr">
        <is>
          <t>View and find information in Event Enquiry and Lead</t>
        </is>
      </c>
      <c r="E317" s="12" t="inlineStr">
        <is>
          <t>EPIC-11</t>
        </is>
      </c>
      <c r="F317" s="12" t="inlineStr">
        <is>
          <t>Events &amp; Banquets</t>
        </is>
      </c>
      <c r="G317" s="12" t="inlineStr">
        <is>
          <t>Lead Management</t>
        </is>
      </c>
      <c r="H317" s="11" t="inlineStr">
        <is>
          <t>SCR-089</t>
        </is>
      </c>
      <c r="I317" s="12" t="inlineStr">
        <is>
          <t>Event Enquiry and Lead</t>
        </is>
      </c>
      <c r="J317" s="12" t="inlineStr">
        <is>
          <t>View / Search</t>
        </is>
      </c>
      <c r="K317" s="12" t="inlineStr">
        <is>
          <t>Sales</t>
        </is>
      </c>
      <c r="L317" s="12" t="inlineStr">
        <is>
          <t>As a Sales, I want to open Event Enquiry and Lead and find relevant records using search, filters and sorting, so that I can make accurate operational decisions.</t>
        </is>
      </c>
      <c r="M317" s="12" t="inlineStr">
        <is>
          <t>Provides timely visibility for lead management and reduces manual lookup effort.</t>
        </is>
      </c>
      <c r="N317" s="12" t="inlineStr">
        <is>
          <t>Authenticated user; active property; view permission for Events &amp; Banquets; Guests, Inventory, Finance data available.</t>
        </is>
      </c>
      <c r="O317" s="12" t="inlineStr">
        <is>
          <t>Given I am authenticated as Sales with access to the selected property, when I open Event Enquiry and Lead,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17" s="12" t="inlineStr">
        <is>
          <t>Cross-property data never appears; unauthorized fields are masked; invalid filters do not break the screen; unavailable services return a controlled message.</t>
        </is>
      </c>
      <c r="Q317" s="12" t="inlineStr">
        <is>
          <t>Tenant/property scope; required fields; optimistic locking; timezone-safe dates; reason mandatory for overrides; availability and overlap check; status-transition rules; cancellation policy</t>
        </is>
      </c>
      <c r="R317" s="12" t="inlineStr">
        <is>
          <t>Guests, Inventory, Finance</t>
        </is>
      </c>
      <c r="S317" s="12" t="inlineStr">
        <is>
          <t>GET, POST, PUT/PATCH, DELETE /api/v1/event-enquiry-and-lead; lookup, validation and audit endpoints; idempotency for financial/booking writes; entities: event_leads, quotations, events, function_sheets</t>
        </is>
      </c>
      <c r="T317" s="12" t="inlineStr">
        <is>
          <t>Could Have</t>
        </is>
      </c>
      <c r="U317" s="12" t="inlineStr">
        <is>
          <t>Release 1.2</t>
        </is>
      </c>
      <c r="V317" s="34" t="n">
        <v>3</v>
      </c>
      <c r="W317" s="12" t="inlineStr">
        <is>
          <t>S17-S19</t>
        </is>
      </c>
      <c r="X317" s="12" t="inlineStr">
        <is>
          <t>Backlog</t>
        </is>
      </c>
      <c r="Y317" s="13">
        <f>IF(X317="Done",1,IF(X317="QA",0.9,IF(X317="Code Review",0.75,IF(X317="In Development",0.5,IF(X317="Ready",0.1,0)))))</f>
        <v/>
      </c>
      <c r="Z317" s="12" t="n"/>
      <c r="AA317" s="12" t="inlineStr">
        <is>
          <t>TC-089-A</t>
        </is>
      </c>
      <c r="AB317" s="12" t="inlineStr">
        <is>
          <t>Approved screen design; story reviewed with Sales; dependencies, API contract, role permissions and test data identified.</t>
        </is>
      </c>
      <c r="AC317" s="12" t="inlineStr">
        <is>
          <t>Code reviewed; unit, API, UI, RBAC and integration tests pass; accessibility and responsive states verified; audit evidence captured; product owner accepts in staging.</t>
        </is>
      </c>
      <c r="AD317" s="12" t="n"/>
    </row>
    <row r="318" ht="78" customHeight="1" s="43">
      <c r="A318" s="11" t="n">
        <v>3</v>
      </c>
      <c r="B318" s="11" t="n">
        <v>314</v>
      </c>
      <c r="C318" s="12" t="inlineStr">
        <is>
          <t>US-089-02</t>
        </is>
      </c>
      <c r="D318" s="12" t="inlineStr">
        <is>
          <t>Complete the primary Event Enquiry and Lead workflow</t>
        </is>
      </c>
      <c r="E318" s="12" t="inlineStr">
        <is>
          <t>EPIC-11</t>
        </is>
      </c>
      <c r="F318" s="12" t="inlineStr">
        <is>
          <t>Events &amp; Banquets</t>
        </is>
      </c>
      <c r="G318" s="12" t="inlineStr">
        <is>
          <t>Lead Management</t>
        </is>
      </c>
      <c r="H318" s="11" t="inlineStr">
        <is>
          <t>SCR-089</t>
        </is>
      </c>
      <c r="I318" s="12" t="inlineStr">
        <is>
          <t>Event Enquiry and Lead</t>
        </is>
      </c>
      <c r="J318" s="12" t="inlineStr">
        <is>
          <t>Primary Workflow</t>
        </is>
      </c>
      <c r="K318" s="12" t="inlineStr">
        <is>
          <t>Sales</t>
        </is>
      </c>
      <c r="L318" s="12" t="inlineStr">
        <is>
          <t>As a Sales, I want to list, search, filter, view, create, edit, cancel/delete under policy, export in Event Enquiry and Lead, so that the lead management process is completed accurately without duplicate or inconsistent records.</t>
        </is>
      </c>
      <c r="M318" s="12" t="inlineStr">
        <is>
          <t>Enable events &amp; banquets users to manage lead management through the Event Enquiry and Lead workflow with real-time status, validations and traceability.</t>
        </is>
      </c>
      <c r="N318" s="12" t="inlineStr">
        <is>
          <t>View access confirmed; required masters and linked records exist; Guests, Inventory, Finance services are available; approval limit is valid.</t>
        </is>
      </c>
      <c r="O31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event enquiry and lead workflow; invalid or conflicting actions are blocked with clear messages; saved changes appear in related screens; sensitive changes are auditable.</t>
        </is>
      </c>
      <c r="P318" s="12" t="inlineStr">
        <is>
          <t>Duplicate submission is idempotent; stale data returns a refresh/conflict message; invalid status transitions are blocked; partial failure rolls back without orphan records.</t>
        </is>
      </c>
      <c r="Q318" s="12" t="inlineStr">
        <is>
          <t>Tenant/property scope; required fields; optimistic locking; timezone-safe dates; reason mandatory for overrides; availability and overlap check; status-transition rules; cancellation policy</t>
        </is>
      </c>
      <c r="R318" s="12" t="inlineStr">
        <is>
          <t>Guests, Inventory, Finance</t>
        </is>
      </c>
      <c r="S318" s="12" t="inlineStr">
        <is>
          <t>GET, POST, PUT/PATCH, DELETE /api/v1/event-enquiry-and-lead; lookup, validation and audit endpoints; idempotency for financial/booking writes; entities: event_leads, quotations, events, function_sheets</t>
        </is>
      </c>
      <c r="T318" s="12" t="inlineStr">
        <is>
          <t>Could Have</t>
        </is>
      </c>
      <c r="U318" s="12" t="inlineStr">
        <is>
          <t>Release 1.2</t>
        </is>
      </c>
      <c r="V318" s="34" t="n">
        <v>8</v>
      </c>
      <c r="W318" s="12" t="inlineStr">
        <is>
          <t>S17-S19</t>
        </is>
      </c>
      <c r="X318" s="12" t="inlineStr">
        <is>
          <t>Backlog</t>
        </is>
      </c>
      <c r="Y318" s="13">
        <f>IF(X318="Done",1,IF(X318="QA",0.9,IF(X318="Code Review",0.75,IF(X318="In Development",0.5,IF(X318="Ready",0.1,0)))))</f>
        <v/>
      </c>
      <c r="Z318" s="12" t="n"/>
      <c r="AA318" s="12" t="inlineStr">
        <is>
          <t>TC-089-B</t>
        </is>
      </c>
      <c r="AB318" s="12" t="inlineStr">
        <is>
          <t>Approved screen design; story reviewed with Sales; dependencies, API contract, role permissions and test data identified.</t>
        </is>
      </c>
      <c r="AC318" s="12" t="inlineStr">
        <is>
          <t>Code reviewed; unit, API, UI, RBAC and integration tests pass; accessibility and responsive states verified; audit evidence captured; product owner accepts in staging.</t>
        </is>
      </c>
      <c r="AD318" s="12" t="n"/>
    </row>
    <row r="319" ht="78" customHeight="1" s="43">
      <c r="A319" s="11" t="n">
        <v>3</v>
      </c>
      <c r="B319" s="11" t="n">
        <v>315</v>
      </c>
      <c r="C319" s="12" t="inlineStr">
        <is>
          <t>US-089-03</t>
        </is>
      </c>
      <c r="D319" s="12" t="inlineStr">
        <is>
          <t>Control permissions, overrides and audit for Event Enquiry and Lead</t>
        </is>
      </c>
      <c r="E319" s="12" t="inlineStr">
        <is>
          <t>EPIC-11</t>
        </is>
      </c>
      <c r="F319" s="12" t="inlineStr">
        <is>
          <t>Events &amp; Banquets</t>
        </is>
      </c>
      <c r="G319" s="12" t="inlineStr">
        <is>
          <t>Lead Management</t>
        </is>
      </c>
      <c r="H319" s="11" t="inlineStr">
        <is>
          <t>SCR-089</t>
        </is>
      </c>
      <c r="I319" s="12" t="inlineStr">
        <is>
          <t>Event Enquiry and Lead</t>
        </is>
      </c>
      <c r="J319" s="12" t="inlineStr">
        <is>
          <t>Security / Exceptions</t>
        </is>
      </c>
      <c r="K319" s="12" t="inlineStr">
        <is>
          <t>Sales</t>
        </is>
      </c>
      <c r="L319" s="12" t="inlineStr">
        <is>
          <t>As a department supervisor or auditor, I want sensitive actions in Event Enquiry and Lead to follow permissions, approval limits and audit rules, so that resort operations remain secure, compliant and traceable.</t>
        </is>
      </c>
      <c r="M319" s="12" t="inlineStr">
        <is>
          <t>Reduces fraud, privacy leakage, unauthorized overrides and unresolved operational disputes.</t>
        </is>
      </c>
      <c r="N319" s="12" t="inlineStr">
        <is>
          <t>Roles, permissions, approval hierarchy and audit service are configured; allowed and denied test users exist.</t>
        </is>
      </c>
      <c r="O31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19" s="12" t="inlineStr">
        <is>
          <t>Tampered IDs, expired sessions, approval-limit violations and cross-tenant requests are rejected; secrets and sensitive guest/payment fields are never written to logs.</t>
        </is>
      </c>
      <c r="Q319" s="12" t="inlineStr">
        <is>
          <t>Tenant/property scope; required fields; optimistic locking; timezone-safe dates; reason mandatory for overrides; availability and overlap check; status-transition rules; cancellation policy</t>
        </is>
      </c>
      <c r="R319" s="12" t="inlineStr">
        <is>
          <t>Guests, Inventory, Finance</t>
        </is>
      </c>
      <c r="S319" s="12" t="inlineStr">
        <is>
          <t>GET, POST, PUT/PATCH, DELETE /api/v1/event-enquiry-and-lead; lookup, validation and audit endpoints; idempotency for financial/booking writes; entities: event_leads, quotations, events, function_sheets</t>
        </is>
      </c>
      <c r="T319" s="12" t="inlineStr">
        <is>
          <t>Could Have</t>
        </is>
      </c>
      <c r="U319" s="12" t="inlineStr">
        <is>
          <t>Release 1.2</t>
        </is>
      </c>
      <c r="V319" s="34" t="n">
        <v>5</v>
      </c>
      <c r="W319" s="12" t="inlineStr">
        <is>
          <t>S17-S19</t>
        </is>
      </c>
      <c r="X319" s="12" t="inlineStr">
        <is>
          <t>Backlog</t>
        </is>
      </c>
      <c r="Y319" s="13">
        <f>IF(X319="Done",1,IF(X319="QA",0.9,IF(X319="Code Review",0.75,IF(X319="In Development",0.5,IF(X319="Ready",0.1,0)))))</f>
        <v/>
      </c>
      <c r="Z319" s="12" t="n"/>
      <c r="AA319" s="12" t="inlineStr">
        <is>
          <t>TC-089-C</t>
        </is>
      </c>
      <c r="AB319" s="12" t="inlineStr">
        <is>
          <t>Approved screen design; story reviewed with Sales; dependencies, API contract, role permissions and test data identified.</t>
        </is>
      </c>
      <c r="AC319" s="12" t="inlineStr">
        <is>
          <t>Code reviewed; unit, API, UI, RBAC and integration tests pass; accessibility and responsive states verified; audit evidence captured; product owner accepts in staging.</t>
        </is>
      </c>
      <c r="AD319" s="12" t="n"/>
    </row>
    <row r="320" ht="78" customHeight="1" s="43">
      <c r="A320" s="11" t="n">
        <v>3</v>
      </c>
      <c r="B320" s="11" t="n">
        <v>316</v>
      </c>
      <c r="C320" s="12" t="inlineStr">
        <is>
          <t>US-090-01</t>
        </is>
      </c>
      <c r="D320" s="12" t="inlineStr">
        <is>
          <t>View and find information in Event Quotation</t>
        </is>
      </c>
      <c r="E320" s="12" t="inlineStr">
        <is>
          <t>EPIC-11</t>
        </is>
      </c>
      <c r="F320" s="12" t="inlineStr">
        <is>
          <t>Events &amp; Banquets</t>
        </is>
      </c>
      <c r="G320" s="12" t="inlineStr">
        <is>
          <t>Quotation</t>
        </is>
      </c>
      <c r="H320" s="11" t="inlineStr">
        <is>
          <t>SCR-090</t>
        </is>
      </c>
      <c r="I320" s="12" t="inlineStr">
        <is>
          <t>Event Quotation</t>
        </is>
      </c>
      <c r="J320" s="12" t="inlineStr">
        <is>
          <t>View / Search</t>
        </is>
      </c>
      <c r="K320" s="12" t="inlineStr">
        <is>
          <t>Sales</t>
        </is>
      </c>
      <c r="L320" s="12" t="inlineStr">
        <is>
          <t>As a Sales, I want to open Event Quotation and find relevant records using search, filters and sorting, so that I can make accurate operational decisions.</t>
        </is>
      </c>
      <c r="M320" s="12" t="inlineStr">
        <is>
          <t>Provides timely visibility for quotation and reduces manual lookup effort.</t>
        </is>
      </c>
      <c r="N320" s="12" t="inlineStr">
        <is>
          <t>Authenticated user; active property; view permission for Events &amp; Banquets; Guests, Inventory, Finance data available.</t>
        </is>
      </c>
      <c r="O320" s="12" t="inlineStr">
        <is>
          <t>Given I am authenticated as Sales with access to the selected property, when I open Event Quotation,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20" s="12" t="inlineStr">
        <is>
          <t>Cross-property data never appears; unauthorized fields are masked; invalid filters do not break the screen; unavailable services return a controlled message.</t>
        </is>
      </c>
      <c r="Q320" s="12" t="inlineStr">
        <is>
          <t>Tenant/property scope; required fields; optimistic locking; timezone-safe dates; reason mandatory for overrides; availability and overlap check; status-transition rules; cancellation policy</t>
        </is>
      </c>
      <c r="R320" s="12" t="inlineStr">
        <is>
          <t>Guests, Inventory, Finance</t>
        </is>
      </c>
      <c r="S320" s="12" t="inlineStr">
        <is>
          <t>GET, POST, PUT/PATCH, DELETE /api/v1/event-quotation; lookup, validation and audit endpoints; idempotency for financial/booking writes; entities: event_leads, quotations, events, function_sheets</t>
        </is>
      </c>
      <c r="T320" s="12" t="inlineStr">
        <is>
          <t>Could Have</t>
        </is>
      </c>
      <c r="U320" s="12" t="inlineStr">
        <is>
          <t>Release 1.2</t>
        </is>
      </c>
      <c r="V320" s="34" t="n">
        <v>3</v>
      </c>
      <c r="W320" s="12" t="inlineStr">
        <is>
          <t>S17-S19</t>
        </is>
      </c>
      <c r="X320" s="12" t="inlineStr">
        <is>
          <t>Backlog</t>
        </is>
      </c>
      <c r="Y320" s="13">
        <f>IF(X320="Done",1,IF(X320="QA",0.9,IF(X320="Code Review",0.75,IF(X320="In Development",0.5,IF(X320="Ready",0.1,0)))))</f>
        <v/>
      </c>
      <c r="Z320" s="12" t="n"/>
      <c r="AA320" s="12" t="inlineStr">
        <is>
          <t>TC-090-A</t>
        </is>
      </c>
      <c r="AB320" s="12" t="inlineStr">
        <is>
          <t>Approved screen design; story reviewed with Sales; dependencies, API contract, role permissions and test data identified.</t>
        </is>
      </c>
      <c r="AC320" s="12" t="inlineStr">
        <is>
          <t>Code reviewed; unit, API, UI, RBAC and integration tests pass; accessibility and responsive states verified; audit evidence captured; product owner accepts in staging.</t>
        </is>
      </c>
      <c r="AD320" s="12" t="n"/>
    </row>
    <row r="321" ht="78" customHeight="1" s="43">
      <c r="A321" s="11" t="n">
        <v>3</v>
      </c>
      <c r="B321" s="11" t="n">
        <v>317</v>
      </c>
      <c r="C321" s="12" t="inlineStr">
        <is>
          <t>US-090-02</t>
        </is>
      </c>
      <c r="D321" s="12" t="inlineStr">
        <is>
          <t>Complete the primary Event Quotation workflow</t>
        </is>
      </c>
      <c r="E321" s="12" t="inlineStr">
        <is>
          <t>EPIC-11</t>
        </is>
      </c>
      <c r="F321" s="12" t="inlineStr">
        <is>
          <t>Events &amp; Banquets</t>
        </is>
      </c>
      <c r="G321" s="12" t="inlineStr">
        <is>
          <t>Quotation</t>
        </is>
      </c>
      <c r="H321" s="11" t="inlineStr">
        <is>
          <t>SCR-090</t>
        </is>
      </c>
      <c r="I321" s="12" t="inlineStr">
        <is>
          <t>Event Quotation</t>
        </is>
      </c>
      <c r="J321" s="12" t="inlineStr">
        <is>
          <t>Primary Workflow</t>
        </is>
      </c>
      <c r="K321" s="12" t="inlineStr">
        <is>
          <t>Sales</t>
        </is>
      </c>
      <c r="L321" s="12" t="inlineStr">
        <is>
          <t>As a Sales, I want to list, search, filter, view, create, edit, cancel/delete under policy, export in Event Quotation, so that the quotation process is completed accurately without duplicate or inconsistent records.</t>
        </is>
      </c>
      <c r="M321" s="12" t="inlineStr">
        <is>
          <t>Enable events &amp; banquets users to manage quotation through the Event Quotation workflow with real-time status, validations and traceability.</t>
        </is>
      </c>
      <c r="N321" s="12" t="inlineStr">
        <is>
          <t>View access confirmed; required masters and linked records exist; Guests, Inventory, Finance services are available; approval limit is valid.</t>
        </is>
      </c>
      <c r="O32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event quotation workflow; invalid or conflicting actions are blocked with clear messages; saved changes appear in related screens; sensitive changes are auditable.</t>
        </is>
      </c>
      <c r="P321" s="12" t="inlineStr">
        <is>
          <t>Duplicate submission is idempotent; stale data returns a refresh/conflict message; invalid status transitions are blocked; partial failure rolls back without orphan records.</t>
        </is>
      </c>
      <c r="Q321" s="12" t="inlineStr">
        <is>
          <t>Tenant/property scope; required fields; optimistic locking; timezone-safe dates; reason mandatory for overrides; availability and overlap check; status-transition rules; cancellation policy</t>
        </is>
      </c>
      <c r="R321" s="12" t="inlineStr">
        <is>
          <t>Guests, Inventory, Finance</t>
        </is>
      </c>
      <c r="S321" s="12" t="inlineStr">
        <is>
          <t>GET, POST, PUT/PATCH, DELETE /api/v1/event-quotation; lookup, validation and audit endpoints; idempotency for financial/booking writes; entities: event_leads, quotations, events, function_sheets</t>
        </is>
      </c>
      <c r="T321" s="12" t="inlineStr">
        <is>
          <t>Could Have</t>
        </is>
      </c>
      <c r="U321" s="12" t="inlineStr">
        <is>
          <t>Release 1.2</t>
        </is>
      </c>
      <c r="V321" s="34" t="n">
        <v>8</v>
      </c>
      <c r="W321" s="12" t="inlineStr">
        <is>
          <t>S17-S19</t>
        </is>
      </c>
      <c r="X321" s="12" t="inlineStr">
        <is>
          <t>Backlog</t>
        </is>
      </c>
      <c r="Y321" s="13">
        <f>IF(X321="Done",1,IF(X321="QA",0.9,IF(X321="Code Review",0.75,IF(X321="In Development",0.5,IF(X321="Ready",0.1,0)))))</f>
        <v/>
      </c>
      <c r="Z321" s="12" t="n"/>
      <c r="AA321" s="12" t="inlineStr">
        <is>
          <t>TC-090-B</t>
        </is>
      </c>
      <c r="AB321" s="12" t="inlineStr">
        <is>
          <t>Approved screen design; story reviewed with Sales; dependencies, API contract, role permissions and test data identified.</t>
        </is>
      </c>
      <c r="AC321" s="12" t="inlineStr">
        <is>
          <t>Code reviewed; unit, API, UI, RBAC and integration tests pass; accessibility and responsive states verified; audit evidence captured; product owner accepts in staging.</t>
        </is>
      </c>
      <c r="AD321" s="12" t="n"/>
    </row>
    <row r="322" ht="78" customHeight="1" s="43">
      <c r="A322" s="11" t="n">
        <v>3</v>
      </c>
      <c r="B322" s="11" t="n">
        <v>318</v>
      </c>
      <c r="C322" s="12" t="inlineStr">
        <is>
          <t>US-090-03</t>
        </is>
      </c>
      <c r="D322" s="12" t="inlineStr">
        <is>
          <t>Control permissions, overrides and audit for Event Quotation</t>
        </is>
      </c>
      <c r="E322" s="12" t="inlineStr">
        <is>
          <t>EPIC-11</t>
        </is>
      </c>
      <c r="F322" s="12" t="inlineStr">
        <is>
          <t>Events &amp; Banquets</t>
        </is>
      </c>
      <c r="G322" s="12" t="inlineStr">
        <is>
          <t>Quotation</t>
        </is>
      </c>
      <c r="H322" s="11" t="inlineStr">
        <is>
          <t>SCR-090</t>
        </is>
      </c>
      <c r="I322" s="12" t="inlineStr">
        <is>
          <t>Event Quotation</t>
        </is>
      </c>
      <c r="J322" s="12" t="inlineStr">
        <is>
          <t>Security / Exceptions</t>
        </is>
      </c>
      <c r="K322" s="12" t="inlineStr">
        <is>
          <t>Sales</t>
        </is>
      </c>
      <c r="L322" s="12" t="inlineStr">
        <is>
          <t>As a department supervisor or auditor, I want sensitive actions in Event Quotation to follow permissions, approval limits and audit rules, so that resort operations remain secure, compliant and traceable.</t>
        </is>
      </c>
      <c r="M322" s="12" t="inlineStr">
        <is>
          <t>Reduces fraud, privacy leakage, unauthorized overrides and unresolved operational disputes.</t>
        </is>
      </c>
      <c r="N322" s="12" t="inlineStr">
        <is>
          <t>Roles, permissions, approval hierarchy and audit service are configured; allowed and denied test users exist.</t>
        </is>
      </c>
      <c r="O32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22" s="12" t="inlineStr">
        <is>
          <t>Tampered IDs, expired sessions, approval-limit violations and cross-tenant requests are rejected; secrets and sensitive guest/payment fields are never written to logs.</t>
        </is>
      </c>
      <c r="Q322" s="12" t="inlineStr">
        <is>
          <t>Tenant/property scope; required fields; optimistic locking; timezone-safe dates; reason mandatory for overrides; availability and overlap check; status-transition rules; cancellation policy</t>
        </is>
      </c>
      <c r="R322" s="12" t="inlineStr">
        <is>
          <t>Guests, Inventory, Finance</t>
        </is>
      </c>
      <c r="S322" s="12" t="inlineStr">
        <is>
          <t>GET, POST, PUT/PATCH, DELETE /api/v1/event-quotation; lookup, validation and audit endpoints; idempotency for financial/booking writes; entities: event_leads, quotations, events, function_sheets</t>
        </is>
      </c>
      <c r="T322" s="12" t="inlineStr">
        <is>
          <t>Could Have</t>
        </is>
      </c>
      <c r="U322" s="12" t="inlineStr">
        <is>
          <t>Release 1.2</t>
        </is>
      </c>
      <c r="V322" s="34" t="n">
        <v>5</v>
      </c>
      <c r="W322" s="12" t="inlineStr">
        <is>
          <t>S17-S19</t>
        </is>
      </c>
      <c r="X322" s="12" t="inlineStr">
        <is>
          <t>Backlog</t>
        </is>
      </c>
      <c r="Y322" s="13">
        <f>IF(X322="Done",1,IF(X322="QA",0.9,IF(X322="Code Review",0.75,IF(X322="In Development",0.5,IF(X322="Ready",0.1,0)))))</f>
        <v/>
      </c>
      <c r="Z322" s="12" t="n"/>
      <c r="AA322" s="12" t="inlineStr">
        <is>
          <t>TC-090-C</t>
        </is>
      </c>
      <c r="AB322" s="12" t="inlineStr">
        <is>
          <t>Approved screen design; story reviewed with Sales; dependencies, API contract, role permissions and test data identified.</t>
        </is>
      </c>
      <c r="AC322" s="12" t="inlineStr">
        <is>
          <t>Code reviewed; unit, API, UI, RBAC and integration tests pass; accessibility and responsive states verified; audit evidence captured; product owner accepts in staging.</t>
        </is>
      </c>
      <c r="AD322" s="12" t="n"/>
    </row>
    <row r="323" ht="78" customHeight="1" s="43">
      <c r="A323" s="11" t="n">
        <v>3</v>
      </c>
      <c r="B323" s="11" t="n">
        <v>319</v>
      </c>
      <c r="C323" s="12" t="inlineStr">
        <is>
          <t>US-091-01</t>
        </is>
      </c>
      <c r="D323" s="12" t="inlineStr">
        <is>
          <t>View and find information in Banquet Event Order and Function Sheet</t>
        </is>
      </c>
      <c r="E323" s="12" t="inlineStr">
        <is>
          <t>EPIC-11</t>
        </is>
      </c>
      <c r="F323" s="12" t="inlineStr">
        <is>
          <t>Events &amp; Banquets</t>
        </is>
      </c>
      <c r="G323" s="12" t="inlineStr">
        <is>
          <t>Event Execution</t>
        </is>
      </c>
      <c r="H323" s="11" t="inlineStr">
        <is>
          <t>SCR-091</t>
        </is>
      </c>
      <c r="I323" s="12" t="inlineStr">
        <is>
          <t>Banquet Event Order and Function Sheet</t>
        </is>
      </c>
      <c r="J323" s="12" t="inlineStr">
        <is>
          <t>View / Search</t>
        </is>
      </c>
      <c r="K323" s="12" t="inlineStr">
        <is>
          <t>Sales</t>
        </is>
      </c>
      <c r="L323" s="12" t="inlineStr">
        <is>
          <t>As a Sales, I want to open Banquet Event Order and Function Sheet and find relevant records using search, filters and sorting, so that I can make accurate operational decisions.</t>
        </is>
      </c>
      <c r="M323" s="12" t="inlineStr">
        <is>
          <t>Provides timely visibility for event execution and reduces manual lookup effort.</t>
        </is>
      </c>
      <c r="N323" s="12" t="inlineStr">
        <is>
          <t>Authenticated user; active property; view permission for Events &amp; Banquets; Guests, Inventory, Finance data available.</t>
        </is>
      </c>
      <c r="O323" s="12" t="inlineStr">
        <is>
          <t>Given I am authenticated as Sales with access to the selected property, when I open Banquet Event Order and Function Sheet,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23" s="12" t="inlineStr">
        <is>
          <t>Cross-property data never appears; unauthorized fields are masked; invalid filters do not break the screen; unavailable services return a controlled message.</t>
        </is>
      </c>
      <c r="Q323" s="12" t="inlineStr">
        <is>
          <t>Tenant/property scope; required fields; optimistic locking; timezone-safe dates; reason mandatory for overrides; availability and overlap check; status-transition rules; cancellation policy</t>
        </is>
      </c>
      <c r="R323" s="12" t="inlineStr">
        <is>
          <t>Guests, Inventory, Finance</t>
        </is>
      </c>
      <c r="S323" s="12" t="inlineStr">
        <is>
          <t>GET, POST, PUT/PATCH, DELETE /api/v1/banquet-event-order-and-function-sheet; lookup, validation and audit endpoints; idempotency for financial/booking writes; entities: event_leads, quotations, events, function_sheets</t>
        </is>
      </c>
      <c r="T323" s="12" t="inlineStr">
        <is>
          <t>Could Have</t>
        </is>
      </c>
      <c r="U323" s="12" t="inlineStr">
        <is>
          <t>Release 1.2</t>
        </is>
      </c>
      <c r="V323" s="34" t="n">
        <v>3</v>
      </c>
      <c r="W323" s="12" t="inlineStr">
        <is>
          <t>S17-S19</t>
        </is>
      </c>
      <c r="X323" s="12" t="inlineStr">
        <is>
          <t>Backlog</t>
        </is>
      </c>
      <c r="Y323" s="13">
        <f>IF(X323="Done",1,IF(X323="QA",0.9,IF(X323="Code Review",0.75,IF(X323="In Development",0.5,IF(X323="Ready",0.1,0)))))</f>
        <v/>
      </c>
      <c r="Z323" s="12" t="n"/>
      <c r="AA323" s="12" t="inlineStr">
        <is>
          <t>TC-091-A</t>
        </is>
      </c>
      <c r="AB323" s="12" t="inlineStr">
        <is>
          <t>Approved screen design; story reviewed with Sales; dependencies, API contract, role permissions and test data identified.</t>
        </is>
      </c>
      <c r="AC323" s="12" t="inlineStr">
        <is>
          <t>Code reviewed; unit, API, UI, RBAC and integration tests pass; accessibility and responsive states verified; audit evidence captured; product owner accepts in staging.</t>
        </is>
      </c>
      <c r="AD323" s="12" t="n"/>
    </row>
    <row r="324" ht="78" customHeight="1" s="43">
      <c r="A324" s="11" t="n">
        <v>3</v>
      </c>
      <c r="B324" s="11" t="n">
        <v>320</v>
      </c>
      <c r="C324" s="12" t="inlineStr">
        <is>
          <t>US-091-02</t>
        </is>
      </c>
      <c r="D324" s="12" t="inlineStr">
        <is>
          <t>Complete the primary Banquet Event Order and Function Sheet workflow</t>
        </is>
      </c>
      <c r="E324" s="12" t="inlineStr">
        <is>
          <t>EPIC-11</t>
        </is>
      </c>
      <c r="F324" s="12" t="inlineStr">
        <is>
          <t>Events &amp; Banquets</t>
        </is>
      </c>
      <c r="G324" s="12" t="inlineStr">
        <is>
          <t>Event Execution</t>
        </is>
      </c>
      <c r="H324" s="11" t="inlineStr">
        <is>
          <t>SCR-091</t>
        </is>
      </c>
      <c r="I324" s="12" t="inlineStr">
        <is>
          <t>Banquet Event Order and Function Sheet</t>
        </is>
      </c>
      <c r="J324" s="12" t="inlineStr">
        <is>
          <t>Primary Workflow</t>
        </is>
      </c>
      <c r="K324" s="12" t="inlineStr">
        <is>
          <t>Sales</t>
        </is>
      </c>
      <c r="L324" s="12" t="inlineStr">
        <is>
          <t>As a Sales, I want to list, search, filter, view, create, edit, cancel/delete under policy, export in Banquet Event Order and Function Sheet, so that the event execution process is completed accurately without duplicate or inconsistent records.</t>
        </is>
      </c>
      <c r="M324" s="12" t="inlineStr">
        <is>
          <t>Enable events &amp; banquets users to manage event execution through the Banquet Event Order and Function Sheet workflow with real-time status, validations and traceability.</t>
        </is>
      </c>
      <c r="N324" s="12" t="inlineStr">
        <is>
          <t>View access confirmed; required masters and linked records exist; Guests, Inventory, Finance services are available; approval limit is valid.</t>
        </is>
      </c>
      <c r="O32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banquet event order and function sheet workflow; invalid or conflicting actions are blocked with clear messages; saved changes appear in related screens; sensitive changes are auditable.</t>
        </is>
      </c>
      <c r="P324" s="12" t="inlineStr">
        <is>
          <t>Duplicate submission is idempotent; stale data returns a refresh/conflict message; invalid status transitions are blocked; partial failure rolls back without orphan records.</t>
        </is>
      </c>
      <c r="Q324" s="12" t="inlineStr">
        <is>
          <t>Tenant/property scope; required fields; optimistic locking; timezone-safe dates; reason mandatory for overrides; availability and overlap check; status-transition rules; cancellation policy</t>
        </is>
      </c>
      <c r="R324" s="12" t="inlineStr">
        <is>
          <t>Guests, Inventory, Finance</t>
        </is>
      </c>
      <c r="S324" s="12" t="inlineStr">
        <is>
          <t>GET, POST, PUT/PATCH, DELETE /api/v1/banquet-event-order-and-function-sheet; lookup, validation and audit endpoints; idempotency for financial/booking writes; entities: event_leads, quotations, events, function_sheets</t>
        </is>
      </c>
      <c r="T324" s="12" t="inlineStr">
        <is>
          <t>Could Have</t>
        </is>
      </c>
      <c r="U324" s="12" t="inlineStr">
        <is>
          <t>Release 1.2</t>
        </is>
      </c>
      <c r="V324" s="34" t="n">
        <v>8</v>
      </c>
      <c r="W324" s="12" t="inlineStr">
        <is>
          <t>S17-S19</t>
        </is>
      </c>
      <c r="X324" s="12" t="inlineStr">
        <is>
          <t>Backlog</t>
        </is>
      </c>
      <c r="Y324" s="13">
        <f>IF(X324="Done",1,IF(X324="QA",0.9,IF(X324="Code Review",0.75,IF(X324="In Development",0.5,IF(X324="Ready",0.1,0)))))</f>
        <v/>
      </c>
      <c r="Z324" s="12" t="n"/>
      <c r="AA324" s="12" t="inlineStr">
        <is>
          <t>TC-091-B</t>
        </is>
      </c>
      <c r="AB324" s="12" t="inlineStr">
        <is>
          <t>Approved screen design; story reviewed with Sales; dependencies, API contract, role permissions and test data identified.</t>
        </is>
      </c>
      <c r="AC324" s="12" t="inlineStr">
        <is>
          <t>Code reviewed; unit, API, UI, RBAC and integration tests pass; accessibility and responsive states verified; audit evidence captured; product owner accepts in staging.</t>
        </is>
      </c>
      <c r="AD324" s="12" t="n"/>
    </row>
    <row r="325" ht="78" customHeight="1" s="43">
      <c r="A325" s="11" t="n">
        <v>3</v>
      </c>
      <c r="B325" s="11" t="n">
        <v>321</v>
      </c>
      <c r="C325" s="12" t="inlineStr">
        <is>
          <t>US-091-03</t>
        </is>
      </c>
      <c r="D325" s="12" t="inlineStr">
        <is>
          <t>Control permissions, overrides and audit for Banquet Event Order and Function Sheet</t>
        </is>
      </c>
      <c r="E325" s="12" t="inlineStr">
        <is>
          <t>EPIC-11</t>
        </is>
      </c>
      <c r="F325" s="12" t="inlineStr">
        <is>
          <t>Events &amp; Banquets</t>
        </is>
      </c>
      <c r="G325" s="12" t="inlineStr">
        <is>
          <t>Event Execution</t>
        </is>
      </c>
      <c r="H325" s="11" t="inlineStr">
        <is>
          <t>SCR-091</t>
        </is>
      </c>
      <c r="I325" s="12" t="inlineStr">
        <is>
          <t>Banquet Event Order and Function Sheet</t>
        </is>
      </c>
      <c r="J325" s="12" t="inlineStr">
        <is>
          <t>Security / Exceptions</t>
        </is>
      </c>
      <c r="K325" s="12" t="inlineStr">
        <is>
          <t>Sales</t>
        </is>
      </c>
      <c r="L325" s="12" t="inlineStr">
        <is>
          <t>As a department supervisor or auditor, I want sensitive actions in Banquet Event Order and Function Sheet to follow permissions, approval limits and audit rules, so that resort operations remain secure, compliant and traceable.</t>
        </is>
      </c>
      <c r="M325" s="12" t="inlineStr">
        <is>
          <t>Reduces fraud, privacy leakage, unauthorized overrides and unresolved operational disputes.</t>
        </is>
      </c>
      <c r="N325" s="12" t="inlineStr">
        <is>
          <t>Roles, permissions, approval hierarchy and audit service are configured; allowed and denied test users exist.</t>
        </is>
      </c>
      <c r="O32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25" s="12" t="inlineStr">
        <is>
          <t>Tampered IDs, expired sessions, approval-limit violations and cross-tenant requests are rejected; secrets and sensitive guest/payment fields are never written to logs.</t>
        </is>
      </c>
      <c r="Q325" s="12" t="inlineStr">
        <is>
          <t>Tenant/property scope; required fields; optimistic locking; timezone-safe dates; reason mandatory for overrides; availability and overlap check; status-transition rules; cancellation policy</t>
        </is>
      </c>
      <c r="R325" s="12" t="inlineStr">
        <is>
          <t>Guests, Inventory, Finance</t>
        </is>
      </c>
      <c r="S325" s="12" t="inlineStr">
        <is>
          <t>GET, POST, PUT/PATCH, DELETE /api/v1/banquet-event-order-and-function-sheet; lookup, validation and audit endpoints; idempotency for financial/booking writes; entities: event_leads, quotations, events, function_sheets</t>
        </is>
      </c>
      <c r="T325" s="12" t="inlineStr">
        <is>
          <t>Could Have</t>
        </is>
      </c>
      <c r="U325" s="12" t="inlineStr">
        <is>
          <t>Release 1.2</t>
        </is>
      </c>
      <c r="V325" s="34" t="n">
        <v>5</v>
      </c>
      <c r="W325" s="12" t="inlineStr">
        <is>
          <t>S17-S19</t>
        </is>
      </c>
      <c r="X325" s="12" t="inlineStr">
        <is>
          <t>Backlog</t>
        </is>
      </c>
      <c r="Y325" s="13">
        <f>IF(X325="Done",1,IF(X325="QA",0.9,IF(X325="Code Review",0.75,IF(X325="In Development",0.5,IF(X325="Ready",0.1,0)))))</f>
        <v/>
      </c>
      <c r="Z325" s="12" t="n"/>
      <c r="AA325" s="12" t="inlineStr">
        <is>
          <t>TC-091-C</t>
        </is>
      </c>
      <c r="AB325" s="12" t="inlineStr">
        <is>
          <t>Approved screen design; story reviewed with Sales; dependencies, API contract, role permissions and test data identified.</t>
        </is>
      </c>
      <c r="AC325" s="12" t="inlineStr">
        <is>
          <t>Code reviewed; unit, API, UI, RBAC and integration tests pass; accessibility and responsive states verified; audit evidence captured; product owner accepts in staging.</t>
        </is>
      </c>
      <c r="AD325" s="12" t="n"/>
    </row>
    <row r="326" ht="78" customHeight="1" s="43">
      <c r="A326" s="11" t="n">
        <v>3</v>
      </c>
      <c r="B326" s="11" t="n">
        <v>322</v>
      </c>
      <c r="C326" s="12" t="inlineStr">
        <is>
          <t>US-092-01</t>
        </is>
      </c>
      <c r="D326" s="12" t="inlineStr">
        <is>
          <t>View and find information in Modify or Cancel Event</t>
        </is>
      </c>
      <c r="E326" s="12" t="inlineStr">
        <is>
          <t>EPIC-11</t>
        </is>
      </c>
      <c r="F326" s="12" t="inlineStr">
        <is>
          <t>Events &amp; Banquets</t>
        </is>
      </c>
      <c r="G326" s="12" t="inlineStr">
        <is>
          <t>Event Modification</t>
        </is>
      </c>
      <c r="H326" s="11" t="inlineStr">
        <is>
          <t>SCR-092</t>
        </is>
      </c>
      <c r="I326" s="12" t="inlineStr">
        <is>
          <t>Modify or Cancel Event</t>
        </is>
      </c>
      <c r="J326" s="12" t="inlineStr">
        <is>
          <t>View / Search</t>
        </is>
      </c>
      <c r="K326" s="12" t="inlineStr">
        <is>
          <t>Sales</t>
        </is>
      </c>
      <c r="L326" s="12" t="inlineStr">
        <is>
          <t>As a Sales, I want to open Modify or Cancel Event and find relevant records using search, filters and sorting, so that I can make accurate operational decisions.</t>
        </is>
      </c>
      <c r="M326" s="12" t="inlineStr">
        <is>
          <t>Provides timely visibility for event modification and reduces manual lookup effort.</t>
        </is>
      </c>
      <c r="N326" s="12" t="inlineStr">
        <is>
          <t>Authenticated user; active property; view permission for Events &amp; Banquets; Guests, Inventory, Finance data available.</t>
        </is>
      </c>
      <c r="O326" s="12" t="inlineStr">
        <is>
          <t>Given I am authenticated as Sales with access to the selected property, when I open Modify or Cancel Event,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26" s="12" t="inlineStr">
        <is>
          <t>Cross-property data never appears; unauthorized fields are masked; invalid filters do not break the screen; unavailable services return a controlled message.</t>
        </is>
      </c>
      <c r="Q326" s="12" t="inlineStr">
        <is>
          <t>Tenant/property scope; required fields; optimistic locking; timezone-safe dates; reason mandatory for overrides; availability and overlap check; status-transition rules; cancellation policy</t>
        </is>
      </c>
      <c r="R326" s="12" t="inlineStr">
        <is>
          <t>Guests, Inventory, Finance</t>
        </is>
      </c>
      <c r="S326" s="12" t="inlineStr">
        <is>
          <t>GET, POST, PUT/PATCH, DELETE /api/v1/modify-or-cancel-event; lookup, validation and audit endpoints; idempotency for financial/booking writes; entities: event_leads, quotations, events, function_sheets</t>
        </is>
      </c>
      <c r="T326" s="12" t="inlineStr">
        <is>
          <t>Could Have</t>
        </is>
      </c>
      <c r="U326" s="12" t="inlineStr">
        <is>
          <t>Release 1.2</t>
        </is>
      </c>
      <c r="V326" s="34" t="n">
        <v>3</v>
      </c>
      <c r="W326" s="12" t="inlineStr">
        <is>
          <t>S17-S19</t>
        </is>
      </c>
      <c r="X326" s="12" t="inlineStr">
        <is>
          <t>Backlog</t>
        </is>
      </c>
      <c r="Y326" s="13">
        <f>IF(X326="Done",1,IF(X326="QA",0.9,IF(X326="Code Review",0.75,IF(X326="In Development",0.5,IF(X326="Ready",0.1,0)))))</f>
        <v/>
      </c>
      <c r="Z326" s="12" t="n"/>
      <c r="AA326" s="12" t="inlineStr">
        <is>
          <t>TC-092-A</t>
        </is>
      </c>
      <c r="AB326" s="12" t="inlineStr">
        <is>
          <t>Approved screen design; story reviewed with Sales; dependencies, API contract, role permissions and test data identified.</t>
        </is>
      </c>
      <c r="AC326" s="12" t="inlineStr">
        <is>
          <t>Code reviewed; unit, API, UI, RBAC and integration tests pass; accessibility and responsive states verified; audit evidence captured; product owner accepts in staging.</t>
        </is>
      </c>
      <c r="AD326" s="12" t="n"/>
    </row>
    <row r="327" ht="78" customHeight="1" s="43">
      <c r="A327" s="11" t="n">
        <v>3</v>
      </c>
      <c r="B327" s="11" t="n">
        <v>323</v>
      </c>
      <c r="C327" s="12" t="inlineStr">
        <is>
          <t>US-092-02</t>
        </is>
      </c>
      <c r="D327" s="12" t="inlineStr">
        <is>
          <t>Complete the primary Modify or Cancel Event workflow</t>
        </is>
      </c>
      <c r="E327" s="12" t="inlineStr">
        <is>
          <t>EPIC-11</t>
        </is>
      </c>
      <c r="F327" s="12" t="inlineStr">
        <is>
          <t>Events &amp; Banquets</t>
        </is>
      </c>
      <c r="G327" s="12" t="inlineStr">
        <is>
          <t>Event Modification</t>
        </is>
      </c>
      <c r="H327" s="11" t="inlineStr">
        <is>
          <t>SCR-092</t>
        </is>
      </c>
      <c r="I327" s="12" t="inlineStr">
        <is>
          <t>Modify or Cancel Event</t>
        </is>
      </c>
      <c r="J327" s="12" t="inlineStr">
        <is>
          <t>Primary Workflow</t>
        </is>
      </c>
      <c r="K327" s="12" t="inlineStr">
        <is>
          <t>Sales</t>
        </is>
      </c>
      <c r="L327" s="12" t="inlineStr">
        <is>
          <t>As a Sales, I want to list, search, filter, view, create, edit, cancel/delete under policy, export in Modify or Cancel Event, so that the event modification process is completed accurately without duplicate or inconsistent records.</t>
        </is>
      </c>
      <c r="M327" s="12" t="inlineStr">
        <is>
          <t>Enable events &amp; banquets users to manage event modification through the Modify or Cancel Event workflow with real-time status, validations and traceability.</t>
        </is>
      </c>
      <c r="N327" s="12" t="inlineStr">
        <is>
          <t>View access confirmed; required masters and linked records exist; Guests, Inventory, Finance services are available; approval limit is valid.</t>
        </is>
      </c>
      <c r="O32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modify or cancel event workflow; invalid or conflicting actions are blocked with clear messages; saved changes appear in related screens; sensitive changes are auditable.</t>
        </is>
      </c>
      <c r="P327" s="12" t="inlineStr">
        <is>
          <t>Duplicate submission is idempotent; stale data returns a refresh/conflict message; invalid status transitions are blocked; partial failure rolls back without orphan records.</t>
        </is>
      </c>
      <c r="Q327" s="12" t="inlineStr">
        <is>
          <t>Tenant/property scope; required fields; optimistic locking; timezone-safe dates; reason mandatory for overrides; availability and overlap check; status-transition rules; cancellation policy</t>
        </is>
      </c>
      <c r="R327" s="12" t="inlineStr">
        <is>
          <t>Guests, Inventory, Finance</t>
        </is>
      </c>
      <c r="S327" s="12" t="inlineStr">
        <is>
          <t>GET, POST, PUT/PATCH, DELETE /api/v1/modify-or-cancel-event; lookup, validation and audit endpoints; idempotency for financial/booking writes; entities: event_leads, quotations, events, function_sheets</t>
        </is>
      </c>
      <c r="T327" s="12" t="inlineStr">
        <is>
          <t>Could Have</t>
        </is>
      </c>
      <c r="U327" s="12" t="inlineStr">
        <is>
          <t>Release 1.2</t>
        </is>
      </c>
      <c r="V327" s="34" t="n">
        <v>8</v>
      </c>
      <c r="W327" s="12" t="inlineStr">
        <is>
          <t>S17-S19</t>
        </is>
      </c>
      <c r="X327" s="12" t="inlineStr">
        <is>
          <t>Backlog</t>
        </is>
      </c>
      <c r="Y327" s="13">
        <f>IF(X327="Done",1,IF(X327="QA",0.9,IF(X327="Code Review",0.75,IF(X327="In Development",0.5,IF(X327="Ready",0.1,0)))))</f>
        <v/>
      </c>
      <c r="Z327" s="12" t="n"/>
      <c r="AA327" s="12" t="inlineStr">
        <is>
          <t>TC-092-B</t>
        </is>
      </c>
      <c r="AB327" s="12" t="inlineStr">
        <is>
          <t>Approved screen design; story reviewed with Sales; dependencies, API contract, role permissions and test data identified.</t>
        </is>
      </c>
      <c r="AC327" s="12" t="inlineStr">
        <is>
          <t>Code reviewed; unit, API, UI, RBAC and integration tests pass; accessibility and responsive states verified; audit evidence captured; product owner accepts in staging.</t>
        </is>
      </c>
      <c r="AD327" s="12" t="n"/>
    </row>
    <row r="328" ht="78" customHeight="1" s="43">
      <c r="A328" s="11" t="n">
        <v>3</v>
      </c>
      <c r="B328" s="11" t="n">
        <v>324</v>
      </c>
      <c r="C328" s="12" t="inlineStr">
        <is>
          <t>US-092-03</t>
        </is>
      </c>
      <c r="D328" s="12" t="inlineStr">
        <is>
          <t>Control permissions, overrides and audit for Modify or Cancel Event</t>
        </is>
      </c>
      <c r="E328" s="12" t="inlineStr">
        <is>
          <t>EPIC-11</t>
        </is>
      </c>
      <c r="F328" s="12" t="inlineStr">
        <is>
          <t>Events &amp; Banquets</t>
        </is>
      </c>
      <c r="G328" s="12" t="inlineStr">
        <is>
          <t>Event Modification</t>
        </is>
      </c>
      <c r="H328" s="11" t="inlineStr">
        <is>
          <t>SCR-092</t>
        </is>
      </c>
      <c r="I328" s="12" t="inlineStr">
        <is>
          <t>Modify or Cancel Event</t>
        </is>
      </c>
      <c r="J328" s="12" t="inlineStr">
        <is>
          <t>Security / Exceptions</t>
        </is>
      </c>
      <c r="K328" s="12" t="inlineStr">
        <is>
          <t>Sales</t>
        </is>
      </c>
      <c r="L328" s="12" t="inlineStr">
        <is>
          <t>As a department supervisor or auditor, I want sensitive actions in Modify or Cancel Event to follow permissions, approval limits and audit rules, so that resort operations remain secure, compliant and traceable.</t>
        </is>
      </c>
      <c r="M328" s="12" t="inlineStr">
        <is>
          <t>Reduces fraud, privacy leakage, unauthorized overrides and unresolved operational disputes.</t>
        </is>
      </c>
      <c r="N328" s="12" t="inlineStr">
        <is>
          <t>Roles, permissions, approval hierarchy and audit service are configured; allowed and denied test users exist.</t>
        </is>
      </c>
      <c r="O32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28" s="12" t="inlineStr">
        <is>
          <t>Tampered IDs, expired sessions, approval-limit violations and cross-tenant requests are rejected; secrets and sensitive guest/payment fields are never written to logs.</t>
        </is>
      </c>
      <c r="Q328" s="12" t="inlineStr">
        <is>
          <t>Tenant/property scope; required fields; optimistic locking; timezone-safe dates; reason mandatory for overrides; availability and overlap check; status-transition rules; cancellation policy</t>
        </is>
      </c>
      <c r="R328" s="12" t="inlineStr">
        <is>
          <t>Guests, Inventory, Finance</t>
        </is>
      </c>
      <c r="S328" s="12" t="inlineStr">
        <is>
          <t>GET, POST, PUT/PATCH, DELETE /api/v1/modify-or-cancel-event; lookup, validation and audit endpoints; idempotency for financial/booking writes; entities: event_leads, quotations, events, function_sheets</t>
        </is>
      </c>
      <c r="T328" s="12" t="inlineStr">
        <is>
          <t>Could Have</t>
        </is>
      </c>
      <c r="U328" s="12" t="inlineStr">
        <is>
          <t>Release 1.2</t>
        </is>
      </c>
      <c r="V328" s="34" t="n">
        <v>5</v>
      </c>
      <c r="W328" s="12" t="inlineStr">
        <is>
          <t>S17-S19</t>
        </is>
      </c>
      <c r="X328" s="12" t="inlineStr">
        <is>
          <t>Backlog</t>
        </is>
      </c>
      <c r="Y328" s="13">
        <f>IF(X328="Done",1,IF(X328="QA",0.9,IF(X328="Code Review",0.75,IF(X328="In Development",0.5,IF(X328="Ready",0.1,0)))))</f>
        <v/>
      </c>
      <c r="Z328" s="12" t="n"/>
      <c r="AA328" s="12" t="inlineStr">
        <is>
          <t>TC-092-C</t>
        </is>
      </c>
      <c r="AB328" s="12" t="inlineStr">
        <is>
          <t>Approved screen design; story reviewed with Sales; dependencies, API contract, role permissions and test data identified.</t>
        </is>
      </c>
      <c r="AC328" s="12" t="inlineStr">
        <is>
          <t>Code reviewed; unit, API, UI, RBAC and integration tests pass; accessibility and responsive states verified; audit evidence captured; product owner accepts in staging.</t>
        </is>
      </c>
      <c r="AD328" s="12" t="n"/>
    </row>
    <row r="329" ht="78" customHeight="1" s="43">
      <c r="A329" s="11" t="n">
        <v>3</v>
      </c>
      <c r="B329" s="11" t="n">
        <v>325</v>
      </c>
      <c r="C329" s="12" t="inlineStr">
        <is>
          <t>US-093-01</t>
        </is>
      </c>
      <c r="D329" s="12" t="inlineStr">
        <is>
          <t>View and find information in Create or Edit Transport Booking</t>
        </is>
      </c>
      <c r="E329" s="12" t="inlineStr">
        <is>
          <t>EPIC-12</t>
        </is>
      </c>
      <c r="F329" s="12" t="inlineStr">
        <is>
          <t>Transport</t>
        </is>
      </c>
      <c r="G329" s="12" t="inlineStr">
        <is>
          <t>Bookings</t>
        </is>
      </c>
      <c r="H329" s="11" t="inlineStr">
        <is>
          <t>SCR-093</t>
        </is>
      </c>
      <c r="I329" s="12" t="inlineStr">
        <is>
          <t>Create or Edit Transport Booking</t>
        </is>
      </c>
      <c r="J329" s="12" t="inlineStr">
        <is>
          <t>View / Search</t>
        </is>
      </c>
      <c r="K329" s="12" t="inlineStr">
        <is>
          <t>Transport Manager</t>
        </is>
      </c>
      <c r="L329" s="12" t="inlineStr">
        <is>
          <t>As a Transport Manager, I want to open Create or Edit Transport Booking and find relevant records using search, filters and sorting, so that I can make accurate operational decisions.</t>
        </is>
      </c>
      <c r="M329" s="12" t="inlineStr">
        <is>
          <t>Provides timely visibility for bookings and reduces manual lookup effort.</t>
        </is>
      </c>
      <c r="N329" s="12" t="inlineStr">
        <is>
          <t>Authenticated user; active property; view permission for Transport; Guests, Workforce, Finance data available.</t>
        </is>
      </c>
      <c r="O329" s="12" t="inlineStr">
        <is>
          <t>Given I am authenticated as Transport Manager with access to the selected property, when I open Create or Edit Transport Booking,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29" s="12" t="inlineStr">
        <is>
          <t>Cross-property data never appears; unauthorized fields are masked; invalid filters do not break the screen; unavailable services return a controlled message.</t>
        </is>
      </c>
      <c r="Q329" s="12" t="inlineStr">
        <is>
          <t>Tenant/property scope; required fields; optimistic locking; timezone-safe dates; reason mandatory for overrides; availability and overlap check; status-transition rules; cancellation policy</t>
        </is>
      </c>
      <c r="R329" s="12" t="inlineStr">
        <is>
          <t>Guests, Workforce, Finance</t>
        </is>
      </c>
      <c r="S329" s="12" t="inlineStr">
        <is>
          <t>GET, POST, PUT/PATCH, DELETE /api/v1/create-or-edit-transport-booking; lookup, validation and audit endpoints; idempotency for financial/booking writes; entities: vehicles, drivers, transport_bookings, trips</t>
        </is>
      </c>
      <c r="T329" s="12" t="inlineStr">
        <is>
          <t>Could Have</t>
        </is>
      </c>
      <c r="U329" s="12" t="inlineStr">
        <is>
          <t>Release 1.2</t>
        </is>
      </c>
      <c r="V329" s="34" t="n">
        <v>3</v>
      </c>
      <c r="W329" s="12" t="inlineStr">
        <is>
          <t>S17-S19</t>
        </is>
      </c>
      <c r="X329" s="12" t="inlineStr">
        <is>
          <t>Backlog</t>
        </is>
      </c>
      <c r="Y329" s="13">
        <f>IF(X329="Done",1,IF(X329="QA",0.9,IF(X329="Code Review",0.75,IF(X329="In Development",0.5,IF(X329="Ready",0.1,0)))))</f>
        <v/>
      </c>
      <c r="Z329" s="12" t="n"/>
      <c r="AA329" s="12" t="inlineStr">
        <is>
          <t>TC-093-A</t>
        </is>
      </c>
      <c r="AB329" s="12" t="inlineStr">
        <is>
          <t>Approved screen design; story reviewed with Transport Manager; dependencies, API contract, role permissions and test data identified.</t>
        </is>
      </c>
      <c r="AC329" s="12" t="inlineStr">
        <is>
          <t>Code reviewed; unit, API, UI, RBAC and integration tests pass; accessibility and responsive states verified; audit evidence captured; product owner accepts in staging.</t>
        </is>
      </c>
      <c r="AD329" s="12" t="n"/>
    </row>
    <row r="330" ht="78" customHeight="1" s="43">
      <c r="A330" s="11" t="n">
        <v>3</v>
      </c>
      <c r="B330" s="11" t="n">
        <v>326</v>
      </c>
      <c r="C330" s="12" t="inlineStr">
        <is>
          <t>US-093-02</t>
        </is>
      </c>
      <c r="D330" s="12" t="inlineStr">
        <is>
          <t>Complete the primary Create or Edit Transport Booking workflow</t>
        </is>
      </c>
      <c r="E330" s="12" t="inlineStr">
        <is>
          <t>EPIC-12</t>
        </is>
      </c>
      <c r="F330" s="12" t="inlineStr">
        <is>
          <t>Transport</t>
        </is>
      </c>
      <c r="G330" s="12" t="inlineStr">
        <is>
          <t>Bookings</t>
        </is>
      </c>
      <c r="H330" s="11" t="inlineStr">
        <is>
          <t>SCR-093</t>
        </is>
      </c>
      <c r="I330" s="12" t="inlineStr">
        <is>
          <t>Create or Edit Transport Booking</t>
        </is>
      </c>
      <c r="J330" s="12" t="inlineStr">
        <is>
          <t>Primary Workflow</t>
        </is>
      </c>
      <c r="K330" s="12" t="inlineStr">
        <is>
          <t>Transport Manager</t>
        </is>
      </c>
      <c r="L330" s="12" t="inlineStr">
        <is>
          <t>As a Transport Manager, I want to list, view, create, edit, activate/deactivate, delete where safe in Create or Edit Transport Booking, so that the bookings process is completed accurately without duplicate or inconsistent records.</t>
        </is>
      </c>
      <c r="M330" s="12" t="inlineStr">
        <is>
          <t>Enable transport users to manage bookings through the Create or Edit Transport Booking workflow with real-time status, validations and traceability.</t>
        </is>
      </c>
      <c r="N330" s="12" t="inlineStr">
        <is>
          <t>View access confirmed; required masters and linked records exist; Guests, Workforce, Finance services are available; approval limit is valid.</t>
        </is>
      </c>
      <c r="O33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or edit transport booking workflow; invalid or conflicting actions are blocked with clear messages; saved changes appear in related screens; sensitive changes are auditable.</t>
        </is>
      </c>
      <c r="P330" s="12" t="inlineStr">
        <is>
          <t>Duplicate submission is idempotent; stale data returns a refresh/conflict message; invalid status transitions are blocked; partial failure rolls back without orphan records.</t>
        </is>
      </c>
      <c r="Q330" s="12" t="inlineStr">
        <is>
          <t>Tenant/property scope; required fields; optimistic locking; timezone-safe dates; reason mandatory for overrides; availability and overlap check; status-transition rules; cancellation policy</t>
        </is>
      </c>
      <c r="R330" s="12" t="inlineStr">
        <is>
          <t>Guests, Workforce, Finance</t>
        </is>
      </c>
      <c r="S330" s="12" t="inlineStr">
        <is>
          <t>GET, POST, PUT/PATCH, DELETE /api/v1/create-or-edit-transport-booking; lookup, validation and audit endpoints; idempotency for financial/booking writes; entities: vehicles, drivers, transport_bookings, trips</t>
        </is>
      </c>
      <c r="T330" s="12" t="inlineStr">
        <is>
          <t>Could Have</t>
        </is>
      </c>
      <c r="U330" s="12" t="inlineStr">
        <is>
          <t>Release 1.2</t>
        </is>
      </c>
      <c r="V330" s="34" t="n">
        <v>5</v>
      </c>
      <c r="W330" s="12" t="inlineStr">
        <is>
          <t>S17-S19</t>
        </is>
      </c>
      <c r="X330" s="12" t="inlineStr">
        <is>
          <t>Backlog</t>
        </is>
      </c>
      <c r="Y330" s="13">
        <f>IF(X330="Done",1,IF(X330="QA",0.9,IF(X330="Code Review",0.75,IF(X330="In Development",0.5,IF(X330="Ready",0.1,0)))))</f>
        <v/>
      </c>
      <c r="Z330" s="12" t="n"/>
      <c r="AA330" s="12" t="inlineStr">
        <is>
          <t>TC-093-B</t>
        </is>
      </c>
      <c r="AB330" s="12" t="inlineStr">
        <is>
          <t>Approved screen design; story reviewed with Transport Manager; dependencies, API contract, role permissions and test data identified.</t>
        </is>
      </c>
      <c r="AC330" s="12" t="inlineStr">
        <is>
          <t>Code reviewed; unit, API, UI, RBAC and integration tests pass; accessibility and responsive states verified; audit evidence captured; product owner accepts in staging.</t>
        </is>
      </c>
      <c r="AD330" s="12" t="n"/>
    </row>
    <row r="331" ht="78" customHeight="1" s="43">
      <c r="A331" s="11" t="n">
        <v>3</v>
      </c>
      <c r="B331" s="11" t="n">
        <v>327</v>
      </c>
      <c r="C331" s="12" t="inlineStr">
        <is>
          <t>US-093-03</t>
        </is>
      </c>
      <c r="D331" s="12" t="inlineStr">
        <is>
          <t>Control permissions, overrides and audit for Create or Edit Transport Booking</t>
        </is>
      </c>
      <c r="E331" s="12" t="inlineStr">
        <is>
          <t>EPIC-12</t>
        </is>
      </c>
      <c r="F331" s="12" t="inlineStr">
        <is>
          <t>Transport</t>
        </is>
      </c>
      <c r="G331" s="12" t="inlineStr">
        <is>
          <t>Bookings</t>
        </is>
      </c>
      <c r="H331" s="11" t="inlineStr">
        <is>
          <t>SCR-093</t>
        </is>
      </c>
      <c r="I331" s="12" t="inlineStr">
        <is>
          <t>Create or Edit Transport Booking</t>
        </is>
      </c>
      <c r="J331" s="12" t="inlineStr">
        <is>
          <t>Security / Exceptions</t>
        </is>
      </c>
      <c r="K331" s="12" t="inlineStr">
        <is>
          <t>Transport Manager</t>
        </is>
      </c>
      <c r="L331" s="12" t="inlineStr">
        <is>
          <t>As a department supervisor or auditor, I want sensitive actions in Create or Edit Transport Booking to follow permissions, approval limits and audit rules, so that resort operations remain secure, compliant and traceable.</t>
        </is>
      </c>
      <c r="M331" s="12" t="inlineStr">
        <is>
          <t>Reduces fraud, privacy leakage, unauthorized overrides and unresolved operational disputes.</t>
        </is>
      </c>
      <c r="N331" s="12" t="inlineStr">
        <is>
          <t>Roles, permissions, approval hierarchy and audit service are configured; allowed and denied test users exist.</t>
        </is>
      </c>
      <c r="O33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31" s="12" t="inlineStr">
        <is>
          <t>Tampered IDs, expired sessions, approval-limit violations and cross-tenant requests are rejected; secrets and sensitive guest/payment fields are never written to logs.</t>
        </is>
      </c>
      <c r="Q331" s="12" t="inlineStr">
        <is>
          <t>Tenant/property scope; required fields; optimistic locking; timezone-safe dates; reason mandatory for overrides; availability and overlap check; status-transition rules; cancellation policy</t>
        </is>
      </c>
      <c r="R331" s="12" t="inlineStr">
        <is>
          <t>Guests, Workforce, Finance</t>
        </is>
      </c>
      <c r="S331" s="12" t="inlineStr">
        <is>
          <t>GET, POST, PUT/PATCH, DELETE /api/v1/create-or-edit-transport-booking; lookup, validation and audit endpoints; idempotency for financial/booking writes; entities: vehicles, drivers, transport_bookings, trips</t>
        </is>
      </c>
      <c r="T331" s="12" t="inlineStr">
        <is>
          <t>Could Have</t>
        </is>
      </c>
      <c r="U331" s="12" t="inlineStr">
        <is>
          <t>Release 1.2</t>
        </is>
      </c>
      <c r="V331" s="34" t="n">
        <v>3</v>
      </c>
      <c r="W331" s="12" t="inlineStr">
        <is>
          <t>S17-S19</t>
        </is>
      </c>
      <c r="X331" s="12" t="inlineStr">
        <is>
          <t>Backlog</t>
        </is>
      </c>
      <c r="Y331" s="13">
        <f>IF(X331="Done",1,IF(X331="QA",0.9,IF(X331="Code Review",0.75,IF(X331="In Development",0.5,IF(X331="Ready",0.1,0)))))</f>
        <v/>
      </c>
      <c r="Z331" s="12" t="n"/>
      <c r="AA331" s="12" t="inlineStr">
        <is>
          <t>TC-093-C</t>
        </is>
      </c>
      <c r="AB331" s="12" t="inlineStr">
        <is>
          <t>Approved screen design; story reviewed with Transport Manager; dependencies, API contract, role permissions and test data identified.</t>
        </is>
      </c>
      <c r="AC331" s="12" t="inlineStr">
        <is>
          <t>Code reviewed; unit, API, UI, RBAC and integration tests pass; accessibility and responsive states verified; audit evidence captured; product owner accepts in staging.</t>
        </is>
      </c>
      <c r="AD331" s="12" t="n"/>
    </row>
    <row r="332" ht="78" customHeight="1" s="43">
      <c r="A332" s="11" t="n">
        <v>3</v>
      </c>
      <c r="B332" s="11" t="n">
        <v>328</v>
      </c>
      <c r="C332" s="12" t="inlineStr">
        <is>
          <t>US-094-01</t>
        </is>
      </c>
      <c r="D332" s="12" t="inlineStr">
        <is>
          <t>View and find information in Vehicle Management</t>
        </is>
      </c>
      <c r="E332" s="12" t="inlineStr">
        <is>
          <t>EPIC-12</t>
        </is>
      </c>
      <c r="F332" s="12" t="inlineStr">
        <is>
          <t>Transport</t>
        </is>
      </c>
      <c r="G332" s="12" t="inlineStr">
        <is>
          <t>Fleet</t>
        </is>
      </c>
      <c r="H332" s="11" t="inlineStr">
        <is>
          <t>SCR-094</t>
        </is>
      </c>
      <c r="I332" s="12" t="inlineStr">
        <is>
          <t>Vehicle Management</t>
        </is>
      </c>
      <c r="J332" s="12" t="inlineStr">
        <is>
          <t>View / Search</t>
        </is>
      </c>
      <c r="K332" s="12" t="inlineStr">
        <is>
          <t>Transport Manager</t>
        </is>
      </c>
      <c r="L332" s="12" t="inlineStr">
        <is>
          <t>As a Transport Manager, I want to open Vehicle Management and find relevant records using search, filters and sorting, so that I can make accurate operational decisions.</t>
        </is>
      </c>
      <c r="M332" s="12" t="inlineStr">
        <is>
          <t>Provides timely visibility for fleet and reduces manual lookup effort.</t>
        </is>
      </c>
      <c r="N332" s="12" t="inlineStr">
        <is>
          <t>Authenticated user; active property; view permission for Transport; Guests, Workforce, Finance data available.</t>
        </is>
      </c>
      <c r="O332" s="12" t="inlineStr">
        <is>
          <t>Given I am authenticated as Transport Manager with access to the selected property, when I open Vehicle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32" s="12" t="inlineStr">
        <is>
          <t>Cross-property data never appears; unauthorized fields are masked; invalid filters do not break the screen; unavailable services return a controlled message.</t>
        </is>
      </c>
      <c r="Q332" s="12" t="inlineStr">
        <is>
          <t>Tenant/property scope; required fields; optimistic locking; timezone-safe dates; reason mandatory for overrides; availability and overlap check; status-transition rules; cancellation policy</t>
        </is>
      </c>
      <c r="R332" s="12" t="inlineStr">
        <is>
          <t>Guests, Workforce, Finance</t>
        </is>
      </c>
      <c r="S332" s="12" t="inlineStr">
        <is>
          <t>GET, POST, PUT/PATCH, DELETE /api/v1/vehicle-management; lookup, validation and audit endpoints; idempotency for financial/booking writes; entities: vehicles, drivers, transport_bookings, trips</t>
        </is>
      </c>
      <c r="T332" s="12" t="inlineStr">
        <is>
          <t>Could Have</t>
        </is>
      </c>
      <c r="U332" s="12" t="inlineStr">
        <is>
          <t>Release 1.2</t>
        </is>
      </c>
      <c r="V332" s="34" t="n">
        <v>3</v>
      </c>
      <c r="W332" s="12" t="inlineStr">
        <is>
          <t>S17-S19</t>
        </is>
      </c>
      <c r="X332" s="12" t="inlineStr">
        <is>
          <t>Backlog</t>
        </is>
      </c>
      <c r="Y332" s="13">
        <f>IF(X332="Done",1,IF(X332="QA",0.9,IF(X332="Code Review",0.75,IF(X332="In Development",0.5,IF(X332="Ready",0.1,0)))))</f>
        <v/>
      </c>
      <c r="Z332" s="12" t="n"/>
      <c r="AA332" s="12" t="inlineStr">
        <is>
          <t>TC-094-A</t>
        </is>
      </c>
      <c r="AB332" s="12" t="inlineStr">
        <is>
          <t>Approved screen design; story reviewed with Transport Manager; dependencies, API contract, role permissions and test data identified.</t>
        </is>
      </c>
      <c r="AC332" s="12" t="inlineStr">
        <is>
          <t>Code reviewed; unit, API, UI, RBAC and integration tests pass; accessibility and responsive states verified; audit evidence captured; product owner accepts in staging.</t>
        </is>
      </c>
      <c r="AD332" s="12" t="n"/>
    </row>
    <row r="333" ht="78" customHeight="1" s="43">
      <c r="A333" s="11" t="n">
        <v>3</v>
      </c>
      <c r="B333" s="11" t="n">
        <v>329</v>
      </c>
      <c r="C333" s="12" t="inlineStr">
        <is>
          <t>US-094-02</t>
        </is>
      </c>
      <c r="D333" s="12" t="inlineStr">
        <is>
          <t>Complete the primary Vehicle Management workflow</t>
        </is>
      </c>
      <c r="E333" s="12" t="inlineStr">
        <is>
          <t>EPIC-12</t>
        </is>
      </c>
      <c r="F333" s="12" t="inlineStr">
        <is>
          <t>Transport</t>
        </is>
      </c>
      <c r="G333" s="12" t="inlineStr">
        <is>
          <t>Fleet</t>
        </is>
      </c>
      <c r="H333" s="11" t="inlineStr">
        <is>
          <t>SCR-094</t>
        </is>
      </c>
      <c r="I333" s="12" t="inlineStr">
        <is>
          <t>Vehicle Management</t>
        </is>
      </c>
      <c r="J333" s="12" t="inlineStr">
        <is>
          <t>Primary Workflow</t>
        </is>
      </c>
      <c r="K333" s="12" t="inlineStr">
        <is>
          <t>Transport Manager</t>
        </is>
      </c>
      <c r="L333" s="12" t="inlineStr">
        <is>
          <t>As a Transport Manager, I want to list, view, create, edit, activate/deactivate, delete where safe in Vehicle Management, so that the fleet process is completed accurately without duplicate or inconsistent records.</t>
        </is>
      </c>
      <c r="M333" s="12" t="inlineStr">
        <is>
          <t>Enable transport users to manage fleet through the Vehicle Management workflow with real-time status, validations and traceability.</t>
        </is>
      </c>
      <c r="N333" s="12" t="inlineStr">
        <is>
          <t>View access confirmed; required masters and linked records exist; Guests, Workforce, Finance services are available; approval limit is valid.</t>
        </is>
      </c>
      <c r="O33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vehicle management workflow; invalid or conflicting actions are blocked with clear messages; saved changes appear in related screens; sensitive changes are auditable.</t>
        </is>
      </c>
      <c r="P333" s="12" t="inlineStr">
        <is>
          <t>Duplicate submission is idempotent; stale data returns a refresh/conflict message; invalid status transitions are blocked; partial failure rolls back without orphan records.</t>
        </is>
      </c>
      <c r="Q333" s="12" t="inlineStr">
        <is>
          <t>Tenant/property scope; required fields; optimistic locking; timezone-safe dates; reason mandatory for overrides; availability and overlap check; status-transition rules; cancellation policy</t>
        </is>
      </c>
      <c r="R333" s="12" t="inlineStr">
        <is>
          <t>Guests, Workforce, Finance</t>
        </is>
      </c>
      <c r="S333" s="12" t="inlineStr">
        <is>
          <t>GET, POST, PUT/PATCH, DELETE /api/v1/vehicle-management; lookup, validation and audit endpoints; idempotency for financial/booking writes; entities: vehicles, drivers, transport_bookings, trips</t>
        </is>
      </c>
      <c r="T333" s="12" t="inlineStr">
        <is>
          <t>Could Have</t>
        </is>
      </c>
      <c r="U333" s="12" t="inlineStr">
        <is>
          <t>Release 1.2</t>
        </is>
      </c>
      <c r="V333" s="34" t="n">
        <v>5</v>
      </c>
      <c r="W333" s="12" t="inlineStr">
        <is>
          <t>S17-S19</t>
        </is>
      </c>
      <c r="X333" s="12" t="inlineStr">
        <is>
          <t>Backlog</t>
        </is>
      </c>
      <c r="Y333" s="13">
        <f>IF(X333="Done",1,IF(X333="QA",0.9,IF(X333="Code Review",0.75,IF(X333="In Development",0.5,IF(X333="Ready",0.1,0)))))</f>
        <v/>
      </c>
      <c r="Z333" s="12" t="n"/>
      <c r="AA333" s="12" t="inlineStr">
        <is>
          <t>TC-094-B</t>
        </is>
      </c>
      <c r="AB333" s="12" t="inlineStr">
        <is>
          <t>Approved screen design; story reviewed with Transport Manager; dependencies, API contract, role permissions and test data identified.</t>
        </is>
      </c>
      <c r="AC333" s="12" t="inlineStr">
        <is>
          <t>Code reviewed; unit, API, UI, RBAC and integration tests pass; accessibility and responsive states verified; audit evidence captured; product owner accepts in staging.</t>
        </is>
      </c>
      <c r="AD333" s="12" t="n"/>
    </row>
    <row r="334" ht="78" customHeight="1" s="43">
      <c r="A334" s="11" t="n">
        <v>3</v>
      </c>
      <c r="B334" s="11" t="n">
        <v>330</v>
      </c>
      <c r="C334" s="12" t="inlineStr">
        <is>
          <t>US-094-03</t>
        </is>
      </c>
      <c r="D334" s="12" t="inlineStr">
        <is>
          <t>Control permissions, overrides and audit for Vehicle Management</t>
        </is>
      </c>
      <c r="E334" s="12" t="inlineStr">
        <is>
          <t>EPIC-12</t>
        </is>
      </c>
      <c r="F334" s="12" t="inlineStr">
        <is>
          <t>Transport</t>
        </is>
      </c>
      <c r="G334" s="12" t="inlineStr">
        <is>
          <t>Fleet</t>
        </is>
      </c>
      <c r="H334" s="11" t="inlineStr">
        <is>
          <t>SCR-094</t>
        </is>
      </c>
      <c r="I334" s="12" t="inlineStr">
        <is>
          <t>Vehicle Management</t>
        </is>
      </c>
      <c r="J334" s="12" t="inlineStr">
        <is>
          <t>Security / Exceptions</t>
        </is>
      </c>
      <c r="K334" s="12" t="inlineStr">
        <is>
          <t>Transport Manager</t>
        </is>
      </c>
      <c r="L334" s="12" t="inlineStr">
        <is>
          <t>As a department supervisor or auditor, I want sensitive actions in Vehicle Management to follow permissions, approval limits and audit rules, so that resort operations remain secure, compliant and traceable.</t>
        </is>
      </c>
      <c r="M334" s="12" t="inlineStr">
        <is>
          <t>Reduces fraud, privacy leakage, unauthorized overrides and unresolved operational disputes.</t>
        </is>
      </c>
      <c r="N334" s="12" t="inlineStr">
        <is>
          <t>Roles, permissions, approval hierarchy and audit service are configured; allowed and denied test users exist.</t>
        </is>
      </c>
      <c r="O33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34" s="12" t="inlineStr">
        <is>
          <t>Tampered IDs, expired sessions, approval-limit violations and cross-tenant requests are rejected; secrets and sensitive guest/payment fields are never written to logs.</t>
        </is>
      </c>
      <c r="Q334" s="12" t="inlineStr">
        <is>
          <t>Tenant/property scope; required fields; optimistic locking; timezone-safe dates; reason mandatory for overrides; availability and overlap check; status-transition rules; cancellation policy</t>
        </is>
      </c>
      <c r="R334" s="12" t="inlineStr">
        <is>
          <t>Guests, Workforce, Finance</t>
        </is>
      </c>
      <c r="S334" s="12" t="inlineStr">
        <is>
          <t>GET, POST, PUT/PATCH, DELETE /api/v1/vehicle-management; lookup, validation and audit endpoints; idempotency for financial/booking writes; entities: vehicles, drivers, transport_bookings, trips</t>
        </is>
      </c>
      <c r="T334" s="12" t="inlineStr">
        <is>
          <t>Could Have</t>
        </is>
      </c>
      <c r="U334" s="12" t="inlineStr">
        <is>
          <t>Release 1.2</t>
        </is>
      </c>
      <c r="V334" s="34" t="n">
        <v>3</v>
      </c>
      <c r="W334" s="12" t="inlineStr">
        <is>
          <t>S17-S19</t>
        </is>
      </c>
      <c r="X334" s="12" t="inlineStr">
        <is>
          <t>Backlog</t>
        </is>
      </c>
      <c r="Y334" s="13">
        <f>IF(X334="Done",1,IF(X334="QA",0.9,IF(X334="Code Review",0.75,IF(X334="In Development",0.5,IF(X334="Ready",0.1,0)))))</f>
        <v/>
      </c>
      <c r="Z334" s="12" t="n"/>
      <c r="AA334" s="12" t="inlineStr">
        <is>
          <t>TC-094-C</t>
        </is>
      </c>
      <c r="AB334" s="12" t="inlineStr">
        <is>
          <t>Approved screen design; story reviewed with Transport Manager; dependencies, API contract, role permissions and test data identified.</t>
        </is>
      </c>
      <c r="AC334" s="12" t="inlineStr">
        <is>
          <t>Code reviewed; unit, API, UI, RBAC and integration tests pass; accessibility and responsive states verified; audit evidence captured; product owner accepts in staging.</t>
        </is>
      </c>
      <c r="AD334" s="12" t="n"/>
    </row>
    <row r="335" ht="78" customHeight="1" s="43">
      <c r="A335" s="11" t="n">
        <v>3</v>
      </c>
      <c r="B335" s="11" t="n">
        <v>331</v>
      </c>
      <c r="C335" s="12" t="inlineStr">
        <is>
          <t>US-095-01</t>
        </is>
      </c>
      <c r="D335" s="12" t="inlineStr">
        <is>
          <t>View and find information in Driver Management</t>
        </is>
      </c>
      <c r="E335" s="12" t="inlineStr">
        <is>
          <t>EPIC-12</t>
        </is>
      </c>
      <c r="F335" s="12" t="inlineStr">
        <is>
          <t>Transport</t>
        </is>
      </c>
      <c r="G335" s="12" t="inlineStr">
        <is>
          <t>Drivers</t>
        </is>
      </c>
      <c r="H335" s="11" t="inlineStr">
        <is>
          <t>SCR-095</t>
        </is>
      </c>
      <c r="I335" s="12" t="inlineStr">
        <is>
          <t>Driver Management</t>
        </is>
      </c>
      <c r="J335" s="12" t="inlineStr">
        <is>
          <t>View / Search</t>
        </is>
      </c>
      <c r="K335" s="12" t="inlineStr">
        <is>
          <t>Transport Manager</t>
        </is>
      </c>
      <c r="L335" s="12" t="inlineStr">
        <is>
          <t>As a Transport Manager, I want to open Driver Management and find relevant records using search, filters and sorting, so that I can make accurate operational decisions.</t>
        </is>
      </c>
      <c r="M335" s="12" t="inlineStr">
        <is>
          <t>Provides timely visibility for drivers and reduces manual lookup effort.</t>
        </is>
      </c>
      <c r="N335" s="12" t="inlineStr">
        <is>
          <t>Authenticated user; active property; view permission for Transport; Guests, Workforce, Finance data available.</t>
        </is>
      </c>
      <c r="O335" s="12" t="inlineStr">
        <is>
          <t>Given I am authenticated as Transport Manager with access to the selected property, when I open Driver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35" s="12" t="inlineStr">
        <is>
          <t>Cross-property data never appears; unauthorized fields are masked; invalid filters do not break the screen; unavailable services return a controlled message.</t>
        </is>
      </c>
      <c r="Q335" s="12" t="inlineStr">
        <is>
          <t>Tenant/property scope; required fields; optimistic locking; timezone-safe dates; reason mandatory for overrides; availability and overlap check; status-transition rules; cancellation policy</t>
        </is>
      </c>
      <c r="R335" s="12" t="inlineStr">
        <is>
          <t>Guests, Workforce, Finance</t>
        </is>
      </c>
      <c r="S335" s="12" t="inlineStr">
        <is>
          <t>GET, POST, PUT/PATCH, DELETE /api/v1/driver-management; lookup, validation and audit endpoints; idempotency for financial/booking writes; entities: vehicles, drivers, transport_bookings, trips</t>
        </is>
      </c>
      <c r="T335" s="12" t="inlineStr">
        <is>
          <t>Could Have</t>
        </is>
      </c>
      <c r="U335" s="12" t="inlineStr">
        <is>
          <t>Release 1.2</t>
        </is>
      </c>
      <c r="V335" s="34" t="n">
        <v>3</v>
      </c>
      <c r="W335" s="12" t="inlineStr">
        <is>
          <t>S17-S19</t>
        </is>
      </c>
      <c r="X335" s="12" t="inlineStr">
        <is>
          <t>Backlog</t>
        </is>
      </c>
      <c r="Y335" s="13">
        <f>IF(X335="Done",1,IF(X335="QA",0.9,IF(X335="Code Review",0.75,IF(X335="In Development",0.5,IF(X335="Ready",0.1,0)))))</f>
        <v/>
      </c>
      <c r="Z335" s="12" t="n"/>
      <c r="AA335" s="12" t="inlineStr">
        <is>
          <t>TC-095-A</t>
        </is>
      </c>
      <c r="AB335" s="12" t="inlineStr">
        <is>
          <t>Approved screen design; story reviewed with Transport Manager; dependencies, API contract, role permissions and test data identified.</t>
        </is>
      </c>
      <c r="AC335" s="12" t="inlineStr">
        <is>
          <t>Code reviewed; unit, API, UI, RBAC and integration tests pass; accessibility and responsive states verified; audit evidence captured; product owner accepts in staging.</t>
        </is>
      </c>
      <c r="AD335" s="12" t="n"/>
    </row>
    <row r="336" ht="78" customHeight="1" s="43">
      <c r="A336" s="11" t="n">
        <v>3</v>
      </c>
      <c r="B336" s="11" t="n">
        <v>332</v>
      </c>
      <c r="C336" s="12" t="inlineStr">
        <is>
          <t>US-095-02</t>
        </is>
      </c>
      <c r="D336" s="12" t="inlineStr">
        <is>
          <t>Complete the primary Driver Management workflow</t>
        </is>
      </c>
      <c r="E336" s="12" t="inlineStr">
        <is>
          <t>EPIC-12</t>
        </is>
      </c>
      <c r="F336" s="12" t="inlineStr">
        <is>
          <t>Transport</t>
        </is>
      </c>
      <c r="G336" s="12" t="inlineStr">
        <is>
          <t>Drivers</t>
        </is>
      </c>
      <c r="H336" s="11" t="inlineStr">
        <is>
          <t>SCR-095</t>
        </is>
      </c>
      <c r="I336" s="12" t="inlineStr">
        <is>
          <t>Driver Management</t>
        </is>
      </c>
      <c r="J336" s="12" t="inlineStr">
        <is>
          <t>Primary Workflow</t>
        </is>
      </c>
      <c r="K336" s="12" t="inlineStr">
        <is>
          <t>Transport Manager</t>
        </is>
      </c>
      <c r="L336" s="12" t="inlineStr">
        <is>
          <t>As a Transport Manager, I want to list, view, create, edit, activate/deactivate, delete where safe in Driver Management, so that the drivers process is completed accurately without duplicate or inconsistent records.</t>
        </is>
      </c>
      <c r="M336" s="12" t="inlineStr">
        <is>
          <t>Enable transport users to manage drivers through the Driver Management workflow with real-time status, validations and traceability.</t>
        </is>
      </c>
      <c r="N336" s="12" t="inlineStr">
        <is>
          <t>View access confirmed; required masters and linked records exist; Guests, Workforce, Finance services are available; approval limit is valid.</t>
        </is>
      </c>
      <c r="O33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driver management workflow; invalid or conflicting actions are blocked with clear messages; saved changes appear in related screens; sensitive changes are auditable.</t>
        </is>
      </c>
      <c r="P336" s="12" t="inlineStr">
        <is>
          <t>Duplicate submission is idempotent; stale data returns a refresh/conflict message; invalid status transitions are blocked; partial failure rolls back without orphan records.</t>
        </is>
      </c>
      <c r="Q336" s="12" t="inlineStr">
        <is>
          <t>Tenant/property scope; required fields; optimistic locking; timezone-safe dates; reason mandatory for overrides; availability and overlap check; status-transition rules; cancellation policy</t>
        </is>
      </c>
      <c r="R336" s="12" t="inlineStr">
        <is>
          <t>Guests, Workforce, Finance</t>
        </is>
      </c>
      <c r="S336" s="12" t="inlineStr">
        <is>
          <t>GET, POST, PUT/PATCH, DELETE /api/v1/driver-management; lookup, validation and audit endpoints; idempotency for financial/booking writes; entities: vehicles, drivers, transport_bookings, trips</t>
        </is>
      </c>
      <c r="T336" s="12" t="inlineStr">
        <is>
          <t>Could Have</t>
        </is>
      </c>
      <c r="U336" s="12" t="inlineStr">
        <is>
          <t>Release 1.2</t>
        </is>
      </c>
      <c r="V336" s="34" t="n">
        <v>5</v>
      </c>
      <c r="W336" s="12" t="inlineStr">
        <is>
          <t>S17-S19</t>
        </is>
      </c>
      <c r="X336" s="12" t="inlineStr">
        <is>
          <t>Backlog</t>
        </is>
      </c>
      <c r="Y336" s="13">
        <f>IF(X336="Done",1,IF(X336="QA",0.9,IF(X336="Code Review",0.75,IF(X336="In Development",0.5,IF(X336="Ready",0.1,0)))))</f>
        <v/>
      </c>
      <c r="Z336" s="12" t="n"/>
      <c r="AA336" s="12" t="inlineStr">
        <is>
          <t>TC-095-B</t>
        </is>
      </c>
      <c r="AB336" s="12" t="inlineStr">
        <is>
          <t>Approved screen design; story reviewed with Transport Manager; dependencies, API contract, role permissions and test data identified.</t>
        </is>
      </c>
      <c r="AC336" s="12" t="inlineStr">
        <is>
          <t>Code reviewed; unit, API, UI, RBAC and integration tests pass; accessibility and responsive states verified; audit evidence captured; product owner accepts in staging.</t>
        </is>
      </c>
      <c r="AD336" s="12" t="n"/>
    </row>
    <row r="337" ht="78" customHeight="1" s="43">
      <c r="A337" s="11" t="n">
        <v>3</v>
      </c>
      <c r="B337" s="11" t="n">
        <v>333</v>
      </c>
      <c r="C337" s="12" t="inlineStr">
        <is>
          <t>US-095-03</t>
        </is>
      </c>
      <c r="D337" s="12" t="inlineStr">
        <is>
          <t>Control permissions, overrides and audit for Driver Management</t>
        </is>
      </c>
      <c r="E337" s="12" t="inlineStr">
        <is>
          <t>EPIC-12</t>
        </is>
      </c>
      <c r="F337" s="12" t="inlineStr">
        <is>
          <t>Transport</t>
        </is>
      </c>
      <c r="G337" s="12" t="inlineStr">
        <is>
          <t>Drivers</t>
        </is>
      </c>
      <c r="H337" s="11" t="inlineStr">
        <is>
          <t>SCR-095</t>
        </is>
      </c>
      <c r="I337" s="12" t="inlineStr">
        <is>
          <t>Driver Management</t>
        </is>
      </c>
      <c r="J337" s="12" t="inlineStr">
        <is>
          <t>Security / Exceptions</t>
        </is>
      </c>
      <c r="K337" s="12" t="inlineStr">
        <is>
          <t>Transport Manager</t>
        </is>
      </c>
      <c r="L337" s="12" t="inlineStr">
        <is>
          <t>As a department supervisor or auditor, I want sensitive actions in Driver Management to follow permissions, approval limits and audit rules, so that resort operations remain secure, compliant and traceable.</t>
        </is>
      </c>
      <c r="M337" s="12" t="inlineStr">
        <is>
          <t>Reduces fraud, privacy leakage, unauthorized overrides and unresolved operational disputes.</t>
        </is>
      </c>
      <c r="N337" s="12" t="inlineStr">
        <is>
          <t>Roles, permissions, approval hierarchy and audit service are configured; allowed and denied test users exist.</t>
        </is>
      </c>
      <c r="O33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37" s="12" t="inlineStr">
        <is>
          <t>Tampered IDs, expired sessions, approval-limit violations and cross-tenant requests are rejected; secrets and sensitive guest/payment fields are never written to logs.</t>
        </is>
      </c>
      <c r="Q337" s="12" t="inlineStr">
        <is>
          <t>Tenant/property scope; required fields; optimistic locking; timezone-safe dates; reason mandatory for overrides; availability and overlap check; status-transition rules; cancellation policy</t>
        </is>
      </c>
      <c r="R337" s="12" t="inlineStr">
        <is>
          <t>Guests, Workforce, Finance</t>
        </is>
      </c>
      <c r="S337" s="12" t="inlineStr">
        <is>
          <t>GET, POST, PUT/PATCH, DELETE /api/v1/driver-management; lookup, validation and audit endpoints; idempotency for financial/booking writes; entities: vehicles, drivers, transport_bookings, trips</t>
        </is>
      </c>
      <c r="T337" s="12" t="inlineStr">
        <is>
          <t>Could Have</t>
        </is>
      </c>
      <c r="U337" s="12" t="inlineStr">
        <is>
          <t>Release 1.2</t>
        </is>
      </c>
      <c r="V337" s="34" t="n">
        <v>3</v>
      </c>
      <c r="W337" s="12" t="inlineStr">
        <is>
          <t>S17-S19</t>
        </is>
      </c>
      <c r="X337" s="12" t="inlineStr">
        <is>
          <t>Backlog</t>
        </is>
      </c>
      <c r="Y337" s="13">
        <f>IF(X337="Done",1,IF(X337="QA",0.9,IF(X337="Code Review",0.75,IF(X337="In Development",0.5,IF(X337="Ready",0.1,0)))))</f>
        <v/>
      </c>
      <c r="Z337" s="12" t="n"/>
      <c r="AA337" s="12" t="inlineStr">
        <is>
          <t>TC-095-C</t>
        </is>
      </c>
      <c r="AB337" s="12" t="inlineStr">
        <is>
          <t>Approved screen design; story reviewed with Transport Manager; dependencies, API contract, role permissions and test data identified.</t>
        </is>
      </c>
      <c r="AC337" s="12" t="inlineStr">
        <is>
          <t>Code reviewed; unit, API, UI, RBAC and integration tests pass; accessibility and responsive states verified; audit evidence captured; product owner accepts in staging.</t>
        </is>
      </c>
      <c r="AD337" s="12" t="n"/>
    </row>
    <row r="338" ht="78" customHeight="1" s="43">
      <c r="A338" s="11" t="n">
        <v>3</v>
      </c>
      <c r="B338" s="11" t="n">
        <v>334</v>
      </c>
      <c r="C338" s="12" t="inlineStr">
        <is>
          <t>US-096-01</t>
        </is>
      </c>
      <c r="D338" s="12" t="inlineStr">
        <is>
          <t>View and find information in Trip Details and Completion</t>
        </is>
      </c>
      <c r="E338" s="12" t="inlineStr">
        <is>
          <t>EPIC-12</t>
        </is>
      </c>
      <c r="F338" s="12" t="inlineStr">
        <is>
          <t>Transport</t>
        </is>
      </c>
      <c r="G338" s="12" t="inlineStr">
        <is>
          <t>Trip Execution</t>
        </is>
      </c>
      <c r="H338" s="11" t="inlineStr">
        <is>
          <t>SCR-096</t>
        </is>
      </c>
      <c r="I338" s="12" t="inlineStr">
        <is>
          <t>Trip Details and Completion</t>
        </is>
      </c>
      <c r="J338" s="12" t="inlineStr">
        <is>
          <t>View / Search</t>
        </is>
      </c>
      <c r="K338" s="12" t="inlineStr">
        <is>
          <t>Transport Manager</t>
        </is>
      </c>
      <c r="L338" s="12" t="inlineStr">
        <is>
          <t>As a Transport Manager, I want to open Trip Details and Completion and find relevant records using search, filters and sorting, so that I can make accurate operational decisions.</t>
        </is>
      </c>
      <c r="M338" s="12" t="inlineStr">
        <is>
          <t>Provides timely visibility for trip execution and reduces manual lookup effort.</t>
        </is>
      </c>
      <c r="N338" s="12" t="inlineStr">
        <is>
          <t>Authenticated user; active property; view permission for Transport; Guests, Workforce, Finance data available.</t>
        </is>
      </c>
      <c r="O338" s="12" t="inlineStr">
        <is>
          <t>Given I am authenticated as Transport Manager with access to the selected property, when I open Trip Details and Completion,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38" s="12" t="inlineStr">
        <is>
          <t>Cross-property data never appears; unauthorized fields are masked; invalid filters do not break the screen; unavailable services return a controlled message.</t>
        </is>
      </c>
      <c r="Q338" s="12" t="inlineStr">
        <is>
          <t>Tenant/property scope; required fields; optimistic locking; timezone-safe dates; reason mandatory for overrides; availability and overlap check; status-transition rules; cancellation policy</t>
        </is>
      </c>
      <c r="R338" s="12" t="inlineStr">
        <is>
          <t>Guests, Workforce, Finance</t>
        </is>
      </c>
      <c r="S338" s="12" t="inlineStr">
        <is>
          <t>GET, POST, PUT/PATCH, DELETE /api/v1/trip-details-and-completion; lookup, validation and audit endpoints; idempotency for financial/booking writes; entities: vehicles, drivers, transport_bookings, trips</t>
        </is>
      </c>
      <c r="T338" s="12" t="inlineStr">
        <is>
          <t>Could Have</t>
        </is>
      </c>
      <c r="U338" s="12" t="inlineStr">
        <is>
          <t>Release 1.2</t>
        </is>
      </c>
      <c r="V338" s="34" t="n">
        <v>3</v>
      </c>
      <c r="W338" s="12" t="inlineStr">
        <is>
          <t>S17-S19</t>
        </is>
      </c>
      <c r="X338" s="12" t="inlineStr">
        <is>
          <t>Backlog</t>
        </is>
      </c>
      <c r="Y338" s="13">
        <f>IF(X338="Done",1,IF(X338="QA",0.9,IF(X338="Code Review",0.75,IF(X338="In Development",0.5,IF(X338="Ready",0.1,0)))))</f>
        <v/>
      </c>
      <c r="Z338" s="12" t="n"/>
      <c r="AA338" s="12" t="inlineStr">
        <is>
          <t>TC-096-A</t>
        </is>
      </c>
      <c r="AB338" s="12" t="inlineStr">
        <is>
          <t>Approved screen design; story reviewed with Transport Manager; dependencies, API contract, role permissions and test data identified.</t>
        </is>
      </c>
      <c r="AC338" s="12" t="inlineStr">
        <is>
          <t>Code reviewed; unit, API, UI, RBAC and integration tests pass; accessibility and responsive states verified; audit evidence captured; product owner accepts in staging.</t>
        </is>
      </c>
      <c r="AD338" s="12" t="n"/>
    </row>
    <row r="339" ht="78" customHeight="1" s="43">
      <c r="A339" s="11" t="n">
        <v>3</v>
      </c>
      <c r="B339" s="11" t="n">
        <v>335</v>
      </c>
      <c r="C339" s="12" t="inlineStr">
        <is>
          <t>US-096-02</t>
        </is>
      </c>
      <c r="D339" s="12" t="inlineStr">
        <is>
          <t>Complete the primary Trip Details and Completion workflow</t>
        </is>
      </c>
      <c r="E339" s="12" t="inlineStr">
        <is>
          <t>EPIC-12</t>
        </is>
      </c>
      <c r="F339" s="12" t="inlineStr">
        <is>
          <t>Transport</t>
        </is>
      </c>
      <c r="G339" s="12" t="inlineStr">
        <is>
          <t>Trip Execution</t>
        </is>
      </c>
      <c r="H339" s="11" t="inlineStr">
        <is>
          <t>SCR-096</t>
        </is>
      </c>
      <c r="I339" s="12" t="inlineStr">
        <is>
          <t>Trip Details and Completion</t>
        </is>
      </c>
      <c r="J339" s="12" t="inlineStr">
        <is>
          <t>Primary Workflow</t>
        </is>
      </c>
      <c r="K339" s="12" t="inlineStr">
        <is>
          <t>Transport Manager</t>
        </is>
      </c>
      <c r="L339" s="12" t="inlineStr">
        <is>
          <t>As a Transport Manager, I want to list, search, filter, view, create, edit, cancel/delete under policy, export in Trip Details and Completion, so that the trip execution process is completed accurately without duplicate or inconsistent records.</t>
        </is>
      </c>
      <c r="M339" s="12" t="inlineStr">
        <is>
          <t>Enable transport users to manage trip execution through the Trip Details and Completion workflow with real-time status, validations and traceability.</t>
        </is>
      </c>
      <c r="N339" s="12" t="inlineStr">
        <is>
          <t>View access confirmed; required masters and linked records exist; Guests, Workforce, Finance services are available; approval limit is valid.</t>
        </is>
      </c>
      <c r="O33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trip details and completion workflow; invalid or conflicting actions are blocked with clear messages; saved changes appear in related screens; sensitive changes are auditable.</t>
        </is>
      </c>
      <c r="P339" s="12" t="inlineStr">
        <is>
          <t>Duplicate submission is idempotent; stale data returns a refresh/conflict message; invalid status transitions are blocked; partial failure rolls back without orphan records.</t>
        </is>
      </c>
      <c r="Q339" s="12" t="inlineStr">
        <is>
          <t>Tenant/property scope; required fields; optimistic locking; timezone-safe dates; reason mandatory for overrides; availability and overlap check; status-transition rules; cancellation policy</t>
        </is>
      </c>
      <c r="R339" s="12" t="inlineStr">
        <is>
          <t>Guests, Workforce, Finance</t>
        </is>
      </c>
      <c r="S339" s="12" t="inlineStr">
        <is>
          <t>GET, POST, PUT/PATCH, DELETE /api/v1/trip-details-and-completion; lookup, validation and audit endpoints; idempotency for financial/booking writes; entities: vehicles, drivers, transport_bookings, trips</t>
        </is>
      </c>
      <c r="T339" s="12" t="inlineStr">
        <is>
          <t>Could Have</t>
        </is>
      </c>
      <c r="U339" s="12" t="inlineStr">
        <is>
          <t>Release 1.2</t>
        </is>
      </c>
      <c r="V339" s="34" t="n">
        <v>5</v>
      </c>
      <c r="W339" s="12" t="inlineStr">
        <is>
          <t>S17-S19</t>
        </is>
      </c>
      <c r="X339" s="12" t="inlineStr">
        <is>
          <t>Backlog</t>
        </is>
      </c>
      <c r="Y339" s="13">
        <f>IF(X339="Done",1,IF(X339="QA",0.9,IF(X339="Code Review",0.75,IF(X339="In Development",0.5,IF(X339="Ready",0.1,0)))))</f>
        <v/>
      </c>
      <c r="Z339" s="12" t="n"/>
      <c r="AA339" s="12" t="inlineStr">
        <is>
          <t>TC-096-B</t>
        </is>
      </c>
      <c r="AB339" s="12" t="inlineStr">
        <is>
          <t>Approved screen design; story reviewed with Transport Manager; dependencies, API contract, role permissions and test data identified.</t>
        </is>
      </c>
      <c r="AC339" s="12" t="inlineStr">
        <is>
          <t>Code reviewed; unit, API, UI, RBAC and integration tests pass; accessibility and responsive states verified; audit evidence captured; product owner accepts in staging.</t>
        </is>
      </c>
      <c r="AD339" s="12" t="n"/>
    </row>
    <row r="340" ht="78" customHeight="1" s="43">
      <c r="A340" s="11" t="n">
        <v>3</v>
      </c>
      <c r="B340" s="11" t="n">
        <v>336</v>
      </c>
      <c r="C340" s="12" t="inlineStr">
        <is>
          <t>US-096-03</t>
        </is>
      </c>
      <c r="D340" s="12" t="inlineStr">
        <is>
          <t>Control permissions, overrides and audit for Trip Details and Completion</t>
        </is>
      </c>
      <c r="E340" s="12" t="inlineStr">
        <is>
          <t>EPIC-12</t>
        </is>
      </c>
      <c r="F340" s="12" t="inlineStr">
        <is>
          <t>Transport</t>
        </is>
      </c>
      <c r="G340" s="12" t="inlineStr">
        <is>
          <t>Trip Execution</t>
        </is>
      </c>
      <c r="H340" s="11" t="inlineStr">
        <is>
          <t>SCR-096</t>
        </is>
      </c>
      <c r="I340" s="12" t="inlineStr">
        <is>
          <t>Trip Details and Completion</t>
        </is>
      </c>
      <c r="J340" s="12" t="inlineStr">
        <is>
          <t>Security / Exceptions</t>
        </is>
      </c>
      <c r="K340" s="12" t="inlineStr">
        <is>
          <t>Transport Manager</t>
        </is>
      </c>
      <c r="L340" s="12" t="inlineStr">
        <is>
          <t>As a department supervisor or auditor, I want sensitive actions in Trip Details and Completion to follow permissions, approval limits and audit rules, so that resort operations remain secure, compliant and traceable.</t>
        </is>
      </c>
      <c r="M340" s="12" t="inlineStr">
        <is>
          <t>Reduces fraud, privacy leakage, unauthorized overrides and unresolved operational disputes.</t>
        </is>
      </c>
      <c r="N340" s="12" t="inlineStr">
        <is>
          <t>Roles, permissions, approval hierarchy and audit service are configured; allowed and denied test users exist.</t>
        </is>
      </c>
      <c r="O34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40" s="12" t="inlineStr">
        <is>
          <t>Tampered IDs, expired sessions, approval-limit violations and cross-tenant requests are rejected; secrets and sensitive guest/payment fields are never written to logs.</t>
        </is>
      </c>
      <c r="Q340" s="12" t="inlineStr">
        <is>
          <t>Tenant/property scope; required fields; optimistic locking; timezone-safe dates; reason mandatory for overrides; availability and overlap check; status-transition rules; cancellation policy</t>
        </is>
      </c>
      <c r="R340" s="12" t="inlineStr">
        <is>
          <t>Guests, Workforce, Finance</t>
        </is>
      </c>
      <c r="S340" s="12" t="inlineStr">
        <is>
          <t>GET, POST, PUT/PATCH, DELETE /api/v1/trip-details-and-completion; lookup, validation and audit endpoints; idempotency for financial/booking writes; entities: vehicles, drivers, transport_bookings, trips</t>
        </is>
      </c>
      <c r="T340" s="12" t="inlineStr">
        <is>
          <t>Could Have</t>
        </is>
      </c>
      <c r="U340" s="12" t="inlineStr">
        <is>
          <t>Release 1.2</t>
        </is>
      </c>
      <c r="V340" s="34" t="n">
        <v>3</v>
      </c>
      <c r="W340" s="12" t="inlineStr">
        <is>
          <t>S17-S19</t>
        </is>
      </c>
      <c r="X340" s="12" t="inlineStr">
        <is>
          <t>Backlog</t>
        </is>
      </c>
      <c r="Y340" s="13">
        <f>IF(X340="Done",1,IF(X340="QA",0.9,IF(X340="Code Review",0.75,IF(X340="In Development",0.5,IF(X340="Ready",0.1,0)))))</f>
        <v/>
      </c>
      <c r="Z340" s="12" t="n"/>
      <c r="AA340" s="12" t="inlineStr">
        <is>
          <t>TC-096-C</t>
        </is>
      </c>
      <c r="AB340" s="12" t="inlineStr">
        <is>
          <t>Approved screen design; story reviewed with Transport Manager; dependencies, API contract, role permissions and test data identified.</t>
        </is>
      </c>
      <c r="AC340" s="12" t="inlineStr">
        <is>
          <t>Code reviewed; unit, API, UI, RBAC and integration tests pass; accessibility and responsive states verified; audit evidence captured; product owner accepts in staging.</t>
        </is>
      </c>
      <c r="AD340" s="12" t="n"/>
    </row>
    <row r="341" ht="78" customHeight="1" s="43">
      <c r="A341" s="11" t="n">
        <v>3</v>
      </c>
      <c r="B341" s="11" t="n">
        <v>337</v>
      </c>
      <c r="C341" s="12" t="inlineStr">
        <is>
          <t>US-021-01</t>
        </is>
      </c>
      <c r="D341" s="12" t="inlineStr">
        <is>
          <t>View and find information in Staff and Shift Roster</t>
        </is>
      </c>
      <c r="E341" s="12" t="inlineStr">
        <is>
          <t>EPIC-15</t>
        </is>
      </c>
      <c r="F341" s="12" t="inlineStr">
        <is>
          <t>Workforce</t>
        </is>
      </c>
      <c r="G341" s="12" t="inlineStr">
        <is>
          <t>Roster</t>
        </is>
      </c>
      <c r="H341" s="11" t="inlineStr">
        <is>
          <t>SCR-021</t>
        </is>
      </c>
      <c r="I341" s="12" t="inlineStr">
        <is>
          <t>Staff and Shift Roster</t>
        </is>
      </c>
      <c r="J341" s="12" t="inlineStr">
        <is>
          <t>View / Search</t>
        </is>
      </c>
      <c r="K341" s="12" t="inlineStr">
        <is>
          <t>HR Manager</t>
        </is>
      </c>
      <c r="L341" s="12" t="inlineStr">
        <is>
          <t>As a HR Manager, I want to open Staff and Shift Roster and find relevant records using search, filters and sorting, so that I can make accurate operational decisions.</t>
        </is>
      </c>
      <c r="M341" s="12" t="inlineStr">
        <is>
          <t>Provides timely visibility for roster and reduces manual lookup effort.</t>
        </is>
      </c>
      <c r="N341" s="12" t="inlineStr">
        <is>
          <t>Authenticated user; active property; view permission for Workforce; Administration data available.</t>
        </is>
      </c>
      <c r="O341" s="12" t="inlineStr">
        <is>
          <t>Given I am authenticated as HR Manager with access to the selected property, when I open Staff and Shift Roster,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41" s="12" t="inlineStr">
        <is>
          <t>Cross-property data never appears; unauthorized fields are masked; invalid filters do not break the screen; unavailable services return a controlled message.</t>
        </is>
      </c>
      <c r="Q341" s="12" t="inlineStr">
        <is>
          <t>Tenant/property scope; required fields; optimistic locking; timezone-safe dates; reason mandatory for overrides; valid status transition; linked-record integrity</t>
        </is>
      </c>
      <c r="R341" s="12" t="inlineStr">
        <is>
          <t>Administration</t>
        </is>
      </c>
      <c r="S341" s="12" t="inlineStr">
        <is>
          <t>GET, POST, PUT/PATCH, DELETE /api/v1/staff-and-shift-roster; lookup, validation and audit endpoints; idempotency for financial/booking writes; entities: employees, shifts, rosters, attendance, leave_requests</t>
        </is>
      </c>
      <c r="T341" s="12" t="inlineStr">
        <is>
          <t>Could Have</t>
        </is>
      </c>
      <c r="U341" s="12" t="inlineStr">
        <is>
          <t>Release 1.2</t>
        </is>
      </c>
      <c r="V341" s="34" t="n">
        <v>3</v>
      </c>
      <c r="W341" s="12" t="inlineStr">
        <is>
          <t>S20-S22</t>
        </is>
      </c>
      <c r="X341" s="12" t="inlineStr">
        <is>
          <t>Backlog</t>
        </is>
      </c>
      <c r="Y341" s="13">
        <f>IF(X341="Done",1,IF(X341="QA",0.9,IF(X341="Code Review",0.75,IF(X341="In Development",0.5,IF(X341="Ready",0.1,0)))))</f>
        <v/>
      </c>
      <c r="Z341" s="12" t="n"/>
      <c r="AA341" s="12" t="inlineStr">
        <is>
          <t>TC-021-A</t>
        </is>
      </c>
      <c r="AB341" s="12" t="inlineStr">
        <is>
          <t>Approved screen design; story reviewed with HR Manager; dependencies, API contract, role permissions and test data identified.</t>
        </is>
      </c>
      <c r="AC341" s="12" t="inlineStr">
        <is>
          <t>Code reviewed; unit, API, UI, RBAC and integration tests pass; accessibility and responsive states verified; audit evidence captured; product owner accepts in staging.</t>
        </is>
      </c>
      <c r="AD341" s="12" t="n"/>
    </row>
    <row r="342" ht="78" customHeight="1" s="43">
      <c r="A342" s="11" t="n">
        <v>3</v>
      </c>
      <c r="B342" s="11" t="n">
        <v>338</v>
      </c>
      <c r="C342" s="12" t="inlineStr">
        <is>
          <t>US-021-02</t>
        </is>
      </c>
      <c r="D342" s="12" t="inlineStr">
        <is>
          <t>Complete the primary Staff and Shift Roster workflow</t>
        </is>
      </c>
      <c r="E342" s="12" t="inlineStr">
        <is>
          <t>EPIC-15</t>
        </is>
      </c>
      <c r="F342" s="12" t="inlineStr">
        <is>
          <t>Workforce</t>
        </is>
      </c>
      <c r="G342" s="12" t="inlineStr">
        <is>
          <t>Roster</t>
        </is>
      </c>
      <c r="H342" s="11" t="inlineStr">
        <is>
          <t>SCR-021</t>
        </is>
      </c>
      <c r="I342" s="12" t="inlineStr">
        <is>
          <t>Staff and Shift Roster</t>
        </is>
      </c>
      <c r="J342" s="12" t="inlineStr">
        <is>
          <t>Primary Workflow</t>
        </is>
      </c>
      <c r="K342" s="12" t="inlineStr">
        <is>
          <t>HR Manager</t>
        </is>
      </c>
      <c r="L342" s="12" t="inlineStr">
        <is>
          <t>As a HR Manager, I want to view timeline, filter, create, assign, reschedule, conflict-check, cancel in Staff and Shift Roster, so that the roster process is completed accurately without duplicate or inconsistent records.</t>
        </is>
      </c>
      <c r="M342" s="12" t="inlineStr">
        <is>
          <t>Enable workforce users to manage roster through the Staff and Shift Roster workflow with real-time status, validations and traceability.</t>
        </is>
      </c>
      <c r="N342" s="12" t="inlineStr">
        <is>
          <t>View access confirmed; required masters and linked records exist; Administration services are available; approval limit is valid.</t>
        </is>
      </c>
      <c r="O34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staff and shift roster workflow; invalid or conflicting actions are blocked with clear messages; saved changes appear in related screens; sensitive changes are auditable.</t>
        </is>
      </c>
      <c r="P342" s="12" t="inlineStr">
        <is>
          <t>Duplicate submission is idempotent; stale data returns a refresh/conflict message; invalid status transitions are blocked; partial failure rolls back without orphan records.</t>
        </is>
      </c>
      <c r="Q342" s="12" t="inlineStr">
        <is>
          <t>Tenant/property scope; required fields; optimistic locking; timezone-safe dates; reason mandatory for overrides; valid status transition; linked-record integrity</t>
        </is>
      </c>
      <c r="R342" s="12" t="inlineStr">
        <is>
          <t>Administration</t>
        </is>
      </c>
      <c r="S342" s="12" t="inlineStr">
        <is>
          <t>GET, POST, PUT/PATCH, DELETE /api/v1/staff-and-shift-roster; lookup, validation and audit endpoints; idempotency for financial/booking writes; entities: employees, shifts, rosters, attendance, leave_requests</t>
        </is>
      </c>
      <c r="T342" s="12" t="inlineStr">
        <is>
          <t>Could Have</t>
        </is>
      </c>
      <c r="U342" s="12" t="inlineStr">
        <is>
          <t>Release 1.2</t>
        </is>
      </c>
      <c r="V342" s="34" t="n">
        <v>5</v>
      </c>
      <c r="W342" s="12" t="inlineStr">
        <is>
          <t>S20-S22</t>
        </is>
      </c>
      <c r="X342" s="12" t="inlineStr">
        <is>
          <t>Backlog</t>
        </is>
      </c>
      <c r="Y342" s="13">
        <f>IF(X342="Done",1,IF(X342="QA",0.9,IF(X342="Code Review",0.75,IF(X342="In Development",0.5,IF(X342="Ready",0.1,0)))))</f>
        <v/>
      </c>
      <c r="Z342" s="12" t="n"/>
      <c r="AA342" s="12" t="inlineStr">
        <is>
          <t>TC-021-B</t>
        </is>
      </c>
      <c r="AB342" s="12" t="inlineStr">
        <is>
          <t>Approved screen design; story reviewed with HR Manager; dependencies, API contract, role permissions and test data identified.</t>
        </is>
      </c>
      <c r="AC342" s="12" t="inlineStr">
        <is>
          <t>Code reviewed; unit, API, UI, RBAC and integration tests pass; accessibility and responsive states verified; audit evidence captured; product owner accepts in staging.</t>
        </is>
      </c>
      <c r="AD342" s="12" t="n"/>
    </row>
    <row r="343" ht="78" customHeight="1" s="43">
      <c r="A343" s="11" t="n">
        <v>3</v>
      </c>
      <c r="B343" s="11" t="n">
        <v>339</v>
      </c>
      <c r="C343" s="12" t="inlineStr">
        <is>
          <t>US-021-03</t>
        </is>
      </c>
      <c r="D343" s="12" t="inlineStr">
        <is>
          <t>Control permissions, overrides and audit for Staff and Shift Roster</t>
        </is>
      </c>
      <c r="E343" s="12" t="inlineStr">
        <is>
          <t>EPIC-15</t>
        </is>
      </c>
      <c r="F343" s="12" t="inlineStr">
        <is>
          <t>Workforce</t>
        </is>
      </c>
      <c r="G343" s="12" t="inlineStr">
        <is>
          <t>Roster</t>
        </is>
      </c>
      <c r="H343" s="11" t="inlineStr">
        <is>
          <t>SCR-021</t>
        </is>
      </c>
      <c r="I343" s="12" t="inlineStr">
        <is>
          <t>Staff and Shift Roster</t>
        </is>
      </c>
      <c r="J343" s="12" t="inlineStr">
        <is>
          <t>Security / Exceptions</t>
        </is>
      </c>
      <c r="K343" s="12" t="inlineStr">
        <is>
          <t>HR Manager</t>
        </is>
      </c>
      <c r="L343" s="12" t="inlineStr">
        <is>
          <t>As a department supervisor or auditor, I want sensitive actions in Staff and Shift Roster to follow permissions, approval limits and audit rules, so that resort operations remain secure, compliant and traceable.</t>
        </is>
      </c>
      <c r="M343" s="12" t="inlineStr">
        <is>
          <t>Reduces fraud, privacy leakage, unauthorized overrides and unresolved operational disputes.</t>
        </is>
      </c>
      <c r="N343" s="12" t="inlineStr">
        <is>
          <t>Roles, permissions, approval hierarchy and audit service are configured; allowed and denied test users exist.</t>
        </is>
      </c>
      <c r="O34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43" s="12" t="inlineStr">
        <is>
          <t>Tampered IDs, expired sessions, approval-limit violations and cross-tenant requests are rejected; secrets and sensitive guest/payment fields are never written to logs.</t>
        </is>
      </c>
      <c r="Q343" s="12" t="inlineStr">
        <is>
          <t>Tenant/property scope; required fields; optimistic locking; timezone-safe dates; reason mandatory for overrides; valid status transition; linked-record integrity</t>
        </is>
      </c>
      <c r="R343" s="12" t="inlineStr">
        <is>
          <t>Administration</t>
        </is>
      </c>
      <c r="S343" s="12" t="inlineStr">
        <is>
          <t>GET, POST, PUT/PATCH, DELETE /api/v1/staff-and-shift-roster; lookup, validation and audit endpoints; idempotency for financial/booking writes; entities: employees, shifts, rosters, attendance, leave_requests</t>
        </is>
      </c>
      <c r="T343" s="12" t="inlineStr">
        <is>
          <t>Could Have</t>
        </is>
      </c>
      <c r="U343" s="12" t="inlineStr">
        <is>
          <t>Release 1.2</t>
        </is>
      </c>
      <c r="V343" s="34" t="n">
        <v>3</v>
      </c>
      <c r="W343" s="12" t="inlineStr">
        <is>
          <t>S20-S22</t>
        </is>
      </c>
      <c r="X343" s="12" t="inlineStr">
        <is>
          <t>Backlog</t>
        </is>
      </c>
      <c r="Y343" s="13">
        <f>IF(X343="Done",1,IF(X343="QA",0.9,IF(X343="Code Review",0.75,IF(X343="In Development",0.5,IF(X343="Ready",0.1,0)))))</f>
        <v/>
      </c>
      <c r="Z343" s="12" t="n"/>
      <c r="AA343" s="12" t="inlineStr">
        <is>
          <t>TC-021-C</t>
        </is>
      </c>
      <c r="AB343" s="12" t="inlineStr">
        <is>
          <t>Approved screen design; story reviewed with HR Manager; dependencies, API contract, role permissions and test data identified.</t>
        </is>
      </c>
      <c r="AC343" s="12" t="inlineStr">
        <is>
          <t>Code reviewed; unit, API, UI, RBAC and integration tests pass; accessibility and responsive states verified; audit evidence captured; product owner accepts in staging.</t>
        </is>
      </c>
      <c r="AD343" s="12" t="n"/>
    </row>
    <row r="344" ht="78" customHeight="1" s="43">
      <c r="A344" s="11" t="n">
        <v>3</v>
      </c>
      <c r="B344" s="11" t="n">
        <v>340</v>
      </c>
      <c r="C344" s="12" t="inlineStr">
        <is>
          <t>US-037-01</t>
        </is>
      </c>
      <c r="D344" s="12" t="inlineStr">
        <is>
          <t>View and find information in Refund Approval</t>
        </is>
      </c>
      <c r="E344" s="12" t="inlineStr">
        <is>
          <t>EPIC-16</t>
        </is>
      </c>
      <c r="F344" s="12" t="inlineStr">
        <is>
          <t>Finance</t>
        </is>
      </c>
      <c r="G344" s="12" t="inlineStr">
        <is>
          <t>Refunds</t>
        </is>
      </c>
      <c r="H344" s="11" t="inlineStr">
        <is>
          <t>SCR-037</t>
        </is>
      </c>
      <c r="I344" s="12" t="inlineStr">
        <is>
          <t>Refund Approval</t>
        </is>
      </c>
      <c r="J344" s="12" t="inlineStr">
        <is>
          <t>View / Search</t>
        </is>
      </c>
      <c r="K344" s="12" t="inlineStr">
        <is>
          <t>Finance Manager</t>
        </is>
      </c>
      <c r="L344" s="12" t="inlineStr">
        <is>
          <t>As a Finance Manager, I want to open Refund Approval and find relevant records using search, filters and sorting, so that I can make accurate operational decisions.</t>
        </is>
      </c>
      <c r="M344" s="12" t="inlineStr">
        <is>
          <t>Provides timely visibility for refunds and reduces manual lookup effort.</t>
        </is>
      </c>
      <c r="N344" s="12" t="inlineStr">
        <is>
          <t>Authenticated user; active property; view permission for Finance; All revenue modules data available.</t>
        </is>
      </c>
      <c r="O344" s="12" t="inlineStr">
        <is>
          <t>Given I am authenticated as Finance Manager with access to the selected property, when I open Refund Approval,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44" s="12" t="inlineStr">
        <is>
          <t>Cross-property data never appears; unauthorized fields are masked; invalid filters do not break the screen; unavailable services return a controlled message.</t>
        </is>
      </c>
      <c r="Q344" s="12" t="inlineStr">
        <is>
          <t>Tenant/property scope; required fields; optimistic locking; timezone-safe dates; reason mandatory for overrides; currency precision; tax/rate totals; approval limit; no unbalanced or duplicate posting</t>
        </is>
      </c>
      <c r="R344" s="12" t="inlineStr">
        <is>
          <t>All revenue modules</t>
        </is>
      </c>
      <c r="S344" s="12" t="inlineStr">
        <is>
          <t>GET, POST/PATCH /api/v1/refund-approval; lookup, validation and audit endpoints; idempotency for financial/booking writes; entities: folios, payments, refunds, invoices, credit_notes, cash_drawers, taxes, receivables</t>
        </is>
      </c>
      <c r="T344" s="12" t="inlineStr">
        <is>
          <t>Could Have</t>
        </is>
      </c>
      <c r="U344" s="12" t="inlineStr">
        <is>
          <t>Release 1.2</t>
        </is>
      </c>
      <c r="V344" s="34" t="n">
        <v>3</v>
      </c>
      <c r="W344" s="12" t="inlineStr">
        <is>
          <t>S20-S22</t>
        </is>
      </c>
      <c r="X344" s="12" t="inlineStr">
        <is>
          <t>Backlog</t>
        </is>
      </c>
      <c r="Y344" s="13">
        <f>IF(X344="Done",1,IF(X344="QA",0.9,IF(X344="Code Review",0.75,IF(X344="In Development",0.5,IF(X344="Ready",0.1,0)))))</f>
        <v/>
      </c>
      <c r="Z344" s="12" t="n"/>
      <c r="AA344" s="12" t="inlineStr">
        <is>
          <t>TC-037-A</t>
        </is>
      </c>
      <c r="AB344" s="12" t="inlineStr">
        <is>
          <t>Approved screen design; story reviewed with Finance Manager; dependencies, API contract, role permissions and test data identified.</t>
        </is>
      </c>
      <c r="AC344" s="12" t="inlineStr">
        <is>
          <t>Code reviewed; unit, API, UI, RBAC and integration tests pass; accessibility and responsive states verified; audit evidence captured; product owner accepts in staging.</t>
        </is>
      </c>
      <c r="AD344" s="12" t="n"/>
    </row>
    <row r="345" ht="78" customHeight="1" s="43">
      <c r="A345" s="11" t="n">
        <v>3</v>
      </c>
      <c r="B345" s="11" t="n">
        <v>341</v>
      </c>
      <c r="C345" s="12" t="inlineStr">
        <is>
          <t>US-037-02</t>
        </is>
      </c>
      <c r="D345" s="12" t="inlineStr">
        <is>
          <t>Complete the primary Refund Approval workflow</t>
        </is>
      </c>
      <c r="E345" s="12" t="inlineStr">
        <is>
          <t>EPIC-16</t>
        </is>
      </c>
      <c r="F345" s="12" t="inlineStr">
        <is>
          <t>Finance</t>
        </is>
      </c>
      <c r="G345" s="12" t="inlineStr">
        <is>
          <t>Refunds</t>
        </is>
      </c>
      <c r="H345" s="11" t="inlineStr">
        <is>
          <t>SCR-037</t>
        </is>
      </c>
      <c r="I345" s="12" t="inlineStr">
        <is>
          <t>Refund Approval</t>
        </is>
      </c>
      <c r="J345" s="12" t="inlineStr">
        <is>
          <t>Primary Workflow</t>
        </is>
      </c>
      <c r="K345" s="12" t="inlineStr">
        <is>
          <t>Finance Manager</t>
        </is>
      </c>
      <c r="L345" s="12" t="inlineStr">
        <is>
          <t>As a Finance Manager, I want to view, approve, reject, comment, escalate in Refund Approval, so that the refunds process is completed accurately without duplicate or inconsistent records.</t>
        </is>
      </c>
      <c r="M345" s="12" t="inlineStr">
        <is>
          <t>Enable finance users to manage refunds through the Refund Approval workflow with real-time status, validations and traceability.</t>
        </is>
      </c>
      <c r="N345" s="12" t="inlineStr">
        <is>
          <t>View access confirmed; required masters and linked records exist; All revenue modules services are available; approval limit is valid.</t>
        </is>
      </c>
      <c r="O34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refund approval workflow; invalid or conflicting actions are blocked with clear messages; saved changes appear in related screens; sensitive changes are auditable.</t>
        </is>
      </c>
      <c r="P345" s="12" t="inlineStr">
        <is>
          <t>Duplicate submission is idempotent; stale data returns a refresh/conflict message; invalid status transitions are blocked; partial failure rolls back without orphan records.</t>
        </is>
      </c>
      <c r="Q345" s="12" t="inlineStr">
        <is>
          <t>Tenant/property scope; required fields; optimistic locking; timezone-safe dates; reason mandatory for overrides; currency precision; tax/rate totals; approval limit; no unbalanced or duplicate posting</t>
        </is>
      </c>
      <c r="R345" s="12" t="inlineStr">
        <is>
          <t>All revenue modules</t>
        </is>
      </c>
      <c r="S345" s="12" t="inlineStr">
        <is>
          <t>GET, POST/PATCH /api/v1/refund-approval; lookup, validation and audit endpoints; idempotency for financial/booking writes; entities: folios, payments, refunds, invoices, credit_notes, cash_drawers, taxes, receivables</t>
        </is>
      </c>
      <c r="T345" s="12" t="inlineStr">
        <is>
          <t>Could Have</t>
        </is>
      </c>
      <c r="U345" s="12" t="inlineStr">
        <is>
          <t>Release 1.2</t>
        </is>
      </c>
      <c r="V345" s="34" t="n">
        <v>8</v>
      </c>
      <c r="W345" s="12" t="inlineStr">
        <is>
          <t>S20-S22</t>
        </is>
      </c>
      <c r="X345" s="12" t="inlineStr">
        <is>
          <t>Backlog</t>
        </is>
      </c>
      <c r="Y345" s="13">
        <f>IF(X345="Done",1,IF(X345="QA",0.9,IF(X345="Code Review",0.75,IF(X345="In Development",0.5,IF(X345="Ready",0.1,0)))))</f>
        <v/>
      </c>
      <c r="Z345" s="12" t="n"/>
      <c r="AA345" s="12" t="inlineStr">
        <is>
          <t>TC-037-B</t>
        </is>
      </c>
      <c r="AB345" s="12" t="inlineStr">
        <is>
          <t>Approved screen design; story reviewed with Finance Manager; dependencies, API contract, role permissions and test data identified.</t>
        </is>
      </c>
      <c r="AC345" s="12" t="inlineStr">
        <is>
          <t>Code reviewed; unit, API, UI, RBAC and integration tests pass; accessibility and responsive states verified; audit evidence captured; product owner accepts in staging.</t>
        </is>
      </c>
      <c r="AD345" s="12" t="n"/>
    </row>
    <row r="346" ht="78" customHeight="1" s="43">
      <c r="A346" s="11" t="n">
        <v>3</v>
      </c>
      <c r="B346" s="11" t="n">
        <v>342</v>
      </c>
      <c r="C346" s="12" t="inlineStr">
        <is>
          <t>US-037-03</t>
        </is>
      </c>
      <c r="D346" s="12" t="inlineStr">
        <is>
          <t>Control permissions, overrides and audit for Refund Approval</t>
        </is>
      </c>
      <c r="E346" s="12" t="inlineStr">
        <is>
          <t>EPIC-16</t>
        </is>
      </c>
      <c r="F346" s="12" t="inlineStr">
        <is>
          <t>Finance</t>
        </is>
      </c>
      <c r="G346" s="12" t="inlineStr">
        <is>
          <t>Refunds</t>
        </is>
      </c>
      <c r="H346" s="11" t="inlineStr">
        <is>
          <t>SCR-037</t>
        </is>
      </c>
      <c r="I346" s="12" t="inlineStr">
        <is>
          <t>Refund Approval</t>
        </is>
      </c>
      <c r="J346" s="12" t="inlineStr">
        <is>
          <t>Security / Exceptions</t>
        </is>
      </c>
      <c r="K346" s="12" t="inlineStr">
        <is>
          <t>Finance Manager</t>
        </is>
      </c>
      <c r="L346" s="12" t="inlineStr">
        <is>
          <t>As a department supervisor or auditor, I want sensitive actions in Refund Approval to follow permissions, approval limits and audit rules, so that resort operations remain secure, compliant and traceable.</t>
        </is>
      </c>
      <c r="M346" s="12" t="inlineStr">
        <is>
          <t>Reduces fraud, privacy leakage, unauthorized overrides and unresolved operational disputes.</t>
        </is>
      </c>
      <c r="N346" s="12" t="inlineStr">
        <is>
          <t>Roles, permissions, approval hierarchy and audit service are configured; allowed and denied test users exist.</t>
        </is>
      </c>
      <c r="O34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46" s="12" t="inlineStr">
        <is>
          <t>Tampered IDs, expired sessions, approval-limit violations and cross-tenant requests are rejected; secrets and sensitive guest/payment fields are never written to logs.</t>
        </is>
      </c>
      <c r="Q346" s="12" t="inlineStr">
        <is>
          <t>Tenant/property scope; required fields; optimistic locking; timezone-safe dates; reason mandatory for overrides; currency precision; tax/rate totals; approval limit; no unbalanced or duplicate posting</t>
        </is>
      </c>
      <c r="R346" s="12" t="inlineStr">
        <is>
          <t>All revenue modules</t>
        </is>
      </c>
      <c r="S346" s="12" t="inlineStr">
        <is>
          <t>GET, POST/PATCH /api/v1/refund-approval; lookup, validation and audit endpoints; idempotency for financial/booking writes; entities: folios, payments, refunds, invoices, credit_notes, cash_drawers, taxes, receivables</t>
        </is>
      </c>
      <c r="T346" s="12" t="inlineStr">
        <is>
          <t>Could Have</t>
        </is>
      </c>
      <c r="U346" s="12" t="inlineStr">
        <is>
          <t>Release 1.2</t>
        </is>
      </c>
      <c r="V346" s="34" t="n">
        <v>5</v>
      </c>
      <c r="W346" s="12" t="inlineStr">
        <is>
          <t>S20-S22</t>
        </is>
      </c>
      <c r="X346" s="12" t="inlineStr">
        <is>
          <t>Backlog</t>
        </is>
      </c>
      <c r="Y346" s="13">
        <f>IF(X346="Done",1,IF(X346="QA",0.9,IF(X346="Code Review",0.75,IF(X346="In Development",0.5,IF(X346="Ready",0.1,0)))))</f>
        <v/>
      </c>
      <c r="Z346" s="12" t="n"/>
      <c r="AA346" s="12" t="inlineStr">
        <is>
          <t>TC-037-C</t>
        </is>
      </c>
      <c r="AB346" s="12" t="inlineStr">
        <is>
          <t>Approved screen design; story reviewed with Finance Manager; dependencies, API contract, role permissions and test data identified.</t>
        </is>
      </c>
      <c r="AC346" s="12" t="inlineStr">
        <is>
          <t>Code reviewed; unit, API, UI, RBAC and integration tests pass; accessibility and responsive states verified; audit evidence captured; product owner accepts in staging.</t>
        </is>
      </c>
      <c r="AD346" s="12" t="n"/>
    </row>
    <row r="347" ht="78" customHeight="1" s="43">
      <c r="A347" s="11" t="n">
        <v>3</v>
      </c>
      <c r="B347" s="11" t="n">
        <v>343</v>
      </c>
      <c r="C347" s="12" t="inlineStr">
        <is>
          <t>US-038-01</t>
        </is>
      </c>
      <c r="D347" s="12" t="inlineStr">
        <is>
          <t>View and find information in Company and Travel Agent Receivables</t>
        </is>
      </c>
      <c r="E347" s="12" t="inlineStr">
        <is>
          <t>EPIC-16</t>
        </is>
      </c>
      <c r="F347" s="12" t="inlineStr">
        <is>
          <t>Finance</t>
        </is>
      </c>
      <c r="G347" s="12" t="inlineStr">
        <is>
          <t>Accounts Receivable</t>
        </is>
      </c>
      <c r="H347" s="11" t="inlineStr">
        <is>
          <t>SCR-038</t>
        </is>
      </c>
      <c r="I347" s="12" t="inlineStr">
        <is>
          <t>Company and Travel Agent Receivables</t>
        </is>
      </c>
      <c r="J347" s="12" t="inlineStr">
        <is>
          <t>View / Search</t>
        </is>
      </c>
      <c r="K347" s="12" t="inlineStr">
        <is>
          <t>Finance Manager</t>
        </is>
      </c>
      <c r="L347" s="12" t="inlineStr">
        <is>
          <t>As a Finance Manager, I want to open Company and Travel Agent Receivables and find relevant records using search, filters and sorting, so that I can make accurate operational decisions.</t>
        </is>
      </c>
      <c r="M347" s="12" t="inlineStr">
        <is>
          <t>Provides timely visibility for accounts receivable and reduces manual lookup effort.</t>
        </is>
      </c>
      <c r="N347" s="12" t="inlineStr">
        <is>
          <t>Authenticated user; active property; view permission for Finance; All revenue modules data available.</t>
        </is>
      </c>
      <c r="O347" s="12" t="inlineStr">
        <is>
          <t>Given I am authenticated as Finance Manager with access to the selected property, when I open Company and Travel Agent Receivables,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47" s="12" t="inlineStr">
        <is>
          <t>Cross-property data never appears; unauthorized fields are masked; invalid filters do not break the screen; unavailable services return a controlled message.</t>
        </is>
      </c>
      <c r="Q347" s="12" t="inlineStr">
        <is>
          <t>Tenant/property scope; required fields; optimistic locking; timezone-safe dates; reason mandatory for overrides; currency precision; tax/rate totals; approval limit; no unbalanced or duplicate posting</t>
        </is>
      </c>
      <c r="R347" s="12" t="inlineStr">
        <is>
          <t>All revenue modules</t>
        </is>
      </c>
      <c r="S347" s="12" t="inlineStr">
        <is>
          <t>GET, POST, PUT/PATCH, DELETE /api/v1/company-and-travel-agent-receivables; lookup, validation and audit endpoints; idempotency for financial/booking writes; entities: folios, payments, refunds, invoices, credit_notes, cash_drawers, taxes, receivables</t>
        </is>
      </c>
      <c r="T347" s="12" t="inlineStr">
        <is>
          <t>Could Have</t>
        </is>
      </c>
      <c r="U347" s="12" t="inlineStr">
        <is>
          <t>Release 1.2</t>
        </is>
      </c>
      <c r="V347" s="34" t="n">
        <v>3</v>
      </c>
      <c r="W347" s="12" t="inlineStr">
        <is>
          <t>S20-S22</t>
        </is>
      </c>
      <c r="X347" s="12" t="inlineStr">
        <is>
          <t>Backlog</t>
        </is>
      </c>
      <c r="Y347" s="13">
        <f>IF(X347="Done",1,IF(X347="QA",0.9,IF(X347="Code Review",0.75,IF(X347="In Development",0.5,IF(X347="Ready",0.1,0)))))</f>
        <v/>
      </c>
      <c r="Z347" s="12" t="n"/>
      <c r="AA347" s="12" t="inlineStr">
        <is>
          <t>TC-038-A</t>
        </is>
      </c>
      <c r="AB347" s="12" t="inlineStr">
        <is>
          <t>Approved screen design; story reviewed with Finance Manager; dependencies, API contract, role permissions and test data identified.</t>
        </is>
      </c>
      <c r="AC347" s="12" t="inlineStr">
        <is>
          <t>Code reviewed; unit, API, UI, RBAC and integration tests pass; accessibility and responsive states verified; audit evidence captured; product owner accepts in staging.</t>
        </is>
      </c>
      <c r="AD347" s="12" t="n"/>
    </row>
    <row r="348" ht="78" customHeight="1" s="43">
      <c r="A348" s="11" t="n">
        <v>3</v>
      </c>
      <c r="B348" s="11" t="n">
        <v>344</v>
      </c>
      <c r="C348" s="12" t="inlineStr">
        <is>
          <t>US-038-02</t>
        </is>
      </c>
      <c r="D348" s="12" t="inlineStr">
        <is>
          <t>Complete the primary Company and Travel Agent Receivables workflow</t>
        </is>
      </c>
      <c r="E348" s="12" t="inlineStr">
        <is>
          <t>EPIC-16</t>
        </is>
      </c>
      <c r="F348" s="12" t="inlineStr">
        <is>
          <t>Finance</t>
        </is>
      </c>
      <c r="G348" s="12" t="inlineStr">
        <is>
          <t>Accounts Receivable</t>
        </is>
      </c>
      <c r="H348" s="11" t="inlineStr">
        <is>
          <t>SCR-038</t>
        </is>
      </c>
      <c r="I348" s="12" t="inlineStr">
        <is>
          <t>Company and Travel Agent Receivables</t>
        </is>
      </c>
      <c r="J348" s="12" t="inlineStr">
        <is>
          <t>Primary Workflow</t>
        </is>
      </c>
      <c r="K348" s="12" t="inlineStr">
        <is>
          <t>Finance Manager</t>
        </is>
      </c>
      <c r="L348" s="12" t="inlineStr">
        <is>
          <t>As a Finance Manager, I want to list, search, filter, view, create, edit, cancel/delete under policy, export in Company and Travel Agent Receivables, so that the accounts receivable process is completed accurately without duplicate or inconsistent records.</t>
        </is>
      </c>
      <c r="M348" s="12" t="inlineStr">
        <is>
          <t>Enable finance users to manage accounts receivable through the Company and Travel Agent Receivables workflow with real-time status, validations and traceability.</t>
        </is>
      </c>
      <c r="N348" s="12" t="inlineStr">
        <is>
          <t>View access confirmed; required masters and linked records exist; All revenue modules services are available; approval limit is valid.</t>
        </is>
      </c>
      <c r="O34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company and travel agent receivables workflow; invalid or conflicting actions are blocked with clear messages; saved changes appear in related screens; sensitive changes are auditable.</t>
        </is>
      </c>
      <c r="P348" s="12" t="inlineStr">
        <is>
          <t>Duplicate submission is idempotent; stale data returns a refresh/conflict message; invalid status transitions are blocked; partial failure rolls back without orphan records.</t>
        </is>
      </c>
      <c r="Q348" s="12" t="inlineStr">
        <is>
          <t>Tenant/property scope; required fields; optimistic locking; timezone-safe dates; reason mandatory for overrides; currency precision; tax/rate totals; approval limit; no unbalanced or duplicate posting</t>
        </is>
      </c>
      <c r="R348" s="12" t="inlineStr">
        <is>
          <t>All revenue modules</t>
        </is>
      </c>
      <c r="S348" s="12" t="inlineStr">
        <is>
          <t>GET, POST, PUT/PATCH, DELETE /api/v1/company-and-travel-agent-receivables; lookup, validation and audit endpoints; idempotency for financial/booking writes; entities: folios, payments, refunds, invoices, credit_notes, cash_drawers, taxes, receivables</t>
        </is>
      </c>
      <c r="T348" s="12" t="inlineStr">
        <is>
          <t>Could Have</t>
        </is>
      </c>
      <c r="U348" s="12" t="inlineStr">
        <is>
          <t>Release 1.2</t>
        </is>
      </c>
      <c r="V348" s="34" t="n">
        <v>8</v>
      </c>
      <c r="W348" s="12" t="inlineStr">
        <is>
          <t>S20-S22</t>
        </is>
      </c>
      <c r="X348" s="12" t="inlineStr">
        <is>
          <t>Backlog</t>
        </is>
      </c>
      <c r="Y348" s="13">
        <f>IF(X348="Done",1,IF(X348="QA",0.9,IF(X348="Code Review",0.75,IF(X348="In Development",0.5,IF(X348="Ready",0.1,0)))))</f>
        <v/>
      </c>
      <c r="Z348" s="12" t="n"/>
      <c r="AA348" s="12" t="inlineStr">
        <is>
          <t>TC-038-B</t>
        </is>
      </c>
      <c r="AB348" s="12" t="inlineStr">
        <is>
          <t>Approved screen design; story reviewed with Finance Manager; dependencies, API contract, role permissions and test data identified.</t>
        </is>
      </c>
      <c r="AC348" s="12" t="inlineStr">
        <is>
          <t>Code reviewed; unit, API, UI, RBAC and integration tests pass; accessibility and responsive states verified; audit evidence captured; product owner accepts in staging.</t>
        </is>
      </c>
      <c r="AD348" s="12" t="n"/>
    </row>
    <row r="349" ht="78" customHeight="1" s="43">
      <c r="A349" s="11" t="n">
        <v>3</v>
      </c>
      <c r="B349" s="11" t="n">
        <v>345</v>
      </c>
      <c r="C349" s="12" t="inlineStr">
        <is>
          <t>US-038-03</t>
        </is>
      </c>
      <c r="D349" s="12" t="inlineStr">
        <is>
          <t>Control permissions, overrides and audit for Company and Travel Agent Receivables</t>
        </is>
      </c>
      <c r="E349" s="12" t="inlineStr">
        <is>
          <t>EPIC-16</t>
        </is>
      </c>
      <c r="F349" s="12" t="inlineStr">
        <is>
          <t>Finance</t>
        </is>
      </c>
      <c r="G349" s="12" t="inlineStr">
        <is>
          <t>Accounts Receivable</t>
        </is>
      </c>
      <c r="H349" s="11" t="inlineStr">
        <is>
          <t>SCR-038</t>
        </is>
      </c>
      <c r="I349" s="12" t="inlineStr">
        <is>
          <t>Company and Travel Agent Receivables</t>
        </is>
      </c>
      <c r="J349" s="12" t="inlineStr">
        <is>
          <t>Security / Exceptions</t>
        </is>
      </c>
      <c r="K349" s="12" t="inlineStr">
        <is>
          <t>Finance Manager</t>
        </is>
      </c>
      <c r="L349" s="12" t="inlineStr">
        <is>
          <t>As a department supervisor or auditor, I want sensitive actions in Company and Travel Agent Receivables to follow permissions, approval limits and audit rules, so that resort operations remain secure, compliant and traceable.</t>
        </is>
      </c>
      <c r="M349" s="12" t="inlineStr">
        <is>
          <t>Reduces fraud, privacy leakage, unauthorized overrides and unresolved operational disputes.</t>
        </is>
      </c>
      <c r="N349" s="12" t="inlineStr">
        <is>
          <t>Roles, permissions, approval hierarchy and audit service are configured; allowed and denied test users exist.</t>
        </is>
      </c>
      <c r="O34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49" s="12" t="inlineStr">
        <is>
          <t>Tampered IDs, expired sessions, approval-limit violations and cross-tenant requests are rejected; secrets and sensitive guest/payment fields are never written to logs.</t>
        </is>
      </c>
      <c r="Q349" s="12" t="inlineStr">
        <is>
          <t>Tenant/property scope; required fields; optimistic locking; timezone-safe dates; reason mandatory for overrides; currency precision; tax/rate totals; approval limit; no unbalanced or duplicate posting</t>
        </is>
      </c>
      <c r="R349" s="12" t="inlineStr">
        <is>
          <t>All revenue modules</t>
        </is>
      </c>
      <c r="S349" s="12" t="inlineStr">
        <is>
          <t>GET, POST, PUT/PATCH, DELETE /api/v1/company-and-travel-agent-receivables; lookup, validation and audit endpoints; idempotency for financial/booking writes; entities: folios, payments, refunds, invoices, credit_notes, cash_drawers, taxes, receivables</t>
        </is>
      </c>
      <c r="T349" s="12" t="inlineStr">
        <is>
          <t>Could Have</t>
        </is>
      </c>
      <c r="U349" s="12" t="inlineStr">
        <is>
          <t>Release 1.2</t>
        </is>
      </c>
      <c r="V349" s="34" t="n">
        <v>5</v>
      </c>
      <c r="W349" s="12" t="inlineStr">
        <is>
          <t>S20-S22</t>
        </is>
      </c>
      <c r="X349" s="12" t="inlineStr">
        <is>
          <t>Backlog</t>
        </is>
      </c>
      <c r="Y349" s="13">
        <f>IF(X349="Done",1,IF(X349="QA",0.9,IF(X349="Code Review",0.75,IF(X349="In Development",0.5,IF(X349="Ready",0.1,0)))))</f>
        <v/>
      </c>
      <c r="Z349" s="12" t="n"/>
      <c r="AA349" s="12" t="inlineStr">
        <is>
          <t>TC-038-C</t>
        </is>
      </c>
      <c r="AB349" s="12" t="inlineStr">
        <is>
          <t>Approved screen design; story reviewed with Finance Manager; dependencies, API contract, role permissions and test data identified.</t>
        </is>
      </c>
      <c r="AC349" s="12" t="inlineStr">
        <is>
          <t>Code reviewed; unit, API, UI, RBAC and integration tests pass; accessibility and responsive states verified; audit evidence captured; product owner accepts in staging.</t>
        </is>
      </c>
      <c r="AD349" s="12" t="n"/>
    </row>
    <row r="350" ht="78" customHeight="1" s="43">
      <c r="A350" s="11" t="n">
        <v>3</v>
      </c>
      <c r="B350" s="11" t="n">
        <v>346</v>
      </c>
      <c r="C350" s="12" t="inlineStr">
        <is>
          <t>US-110-01</t>
        </is>
      </c>
      <c r="D350" s="12" t="inlineStr">
        <is>
          <t>View and find information in Create or Edit Employee</t>
        </is>
      </c>
      <c r="E350" s="12" t="inlineStr">
        <is>
          <t>EPIC-15</t>
        </is>
      </c>
      <c r="F350" s="12" t="inlineStr">
        <is>
          <t>Workforce</t>
        </is>
      </c>
      <c r="G350" s="12" t="inlineStr">
        <is>
          <t>Employee Master</t>
        </is>
      </c>
      <c r="H350" s="11" t="inlineStr">
        <is>
          <t>SCR-110</t>
        </is>
      </c>
      <c r="I350" s="12" t="inlineStr">
        <is>
          <t>Create or Edit Employee</t>
        </is>
      </c>
      <c r="J350" s="12" t="inlineStr">
        <is>
          <t>View / Search</t>
        </is>
      </c>
      <c r="K350" s="12" t="inlineStr">
        <is>
          <t>HR Manager</t>
        </is>
      </c>
      <c r="L350" s="12" t="inlineStr">
        <is>
          <t>As a HR Manager, I want to open Create or Edit Employee and find relevant records using search, filters and sorting, so that I can make accurate operational decisions.</t>
        </is>
      </c>
      <c r="M350" s="12" t="inlineStr">
        <is>
          <t>Provides timely visibility for employee master and reduces manual lookup effort.</t>
        </is>
      </c>
      <c r="N350" s="12" t="inlineStr">
        <is>
          <t>Authenticated user; active property; view permission for Workforce; Administration data available.</t>
        </is>
      </c>
      <c r="O350" s="12" t="inlineStr">
        <is>
          <t>Given I am authenticated as HR Manager with access to the selected property, when I open Create or Edit Employee,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50" s="12" t="inlineStr">
        <is>
          <t>Cross-property data never appears; unauthorized fields are masked; invalid filters do not break the screen; unavailable services return a controlled message.</t>
        </is>
      </c>
      <c r="Q350" s="12" t="inlineStr">
        <is>
          <t>Tenant/property scope; required fields; optimistic locking; timezone-safe dates; reason mandatory for overrides; valid status transition; linked-record integrity</t>
        </is>
      </c>
      <c r="R350" s="12" t="inlineStr">
        <is>
          <t>Administration</t>
        </is>
      </c>
      <c r="S350" s="12" t="inlineStr">
        <is>
          <t>GET, POST, PUT/PATCH, DELETE /api/v1/create-or-edit-employee; lookup, validation and audit endpoints; idempotency for financial/booking writes; entities: employees, shifts, rosters, attendance, leave_requests</t>
        </is>
      </c>
      <c r="T350" s="12" t="inlineStr">
        <is>
          <t>Could Have</t>
        </is>
      </c>
      <c r="U350" s="12" t="inlineStr">
        <is>
          <t>Release 1.2</t>
        </is>
      </c>
      <c r="V350" s="34" t="n">
        <v>3</v>
      </c>
      <c r="W350" s="12" t="inlineStr">
        <is>
          <t>S20-S22</t>
        </is>
      </c>
      <c r="X350" s="12" t="inlineStr">
        <is>
          <t>Backlog</t>
        </is>
      </c>
      <c r="Y350" s="13">
        <f>IF(X350="Done",1,IF(X350="QA",0.9,IF(X350="Code Review",0.75,IF(X350="In Development",0.5,IF(X350="Ready",0.1,0)))))</f>
        <v/>
      </c>
      <c r="Z350" s="12" t="n"/>
      <c r="AA350" s="12" t="inlineStr">
        <is>
          <t>TC-110-A</t>
        </is>
      </c>
      <c r="AB350" s="12" t="inlineStr">
        <is>
          <t>Approved screen design; story reviewed with HR Manager; dependencies, API contract, role permissions and test data identified.</t>
        </is>
      </c>
      <c r="AC350" s="12" t="inlineStr">
        <is>
          <t>Code reviewed; unit, API, UI, RBAC and integration tests pass; accessibility and responsive states verified; audit evidence captured; product owner accepts in staging.</t>
        </is>
      </c>
      <c r="AD350" s="12" t="n"/>
    </row>
    <row r="351" ht="78" customHeight="1" s="43">
      <c r="A351" s="11" t="n">
        <v>3</v>
      </c>
      <c r="B351" s="11" t="n">
        <v>347</v>
      </c>
      <c r="C351" s="12" t="inlineStr">
        <is>
          <t>US-110-02</t>
        </is>
      </c>
      <c r="D351" s="12" t="inlineStr">
        <is>
          <t>Complete the primary Create or Edit Employee workflow</t>
        </is>
      </c>
      <c r="E351" s="12" t="inlineStr">
        <is>
          <t>EPIC-15</t>
        </is>
      </c>
      <c r="F351" s="12" t="inlineStr">
        <is>
          <t>Workforce</t>
        </is>
      </c>
      <c r="G351" s="12" t="inlineStr">
        <is>
          <t>Employee Master</t>
        </is>
      </c>
      <c r="H351" s="11" t="inlineStr">
        <is>
          <t>SCR-110</t>
        </is>
      </c>
      <c r="I351" s="12" t="inlineStr">
        <is>
          <t>Create or Edit Employee</t>
        </is>
      </c>
      <c r="J351" s="12" t="inlineStr">
        <is>
          <t>Primary Workflow</t>
        </is>
      </c>
      <c r="K351" s="12" t="inlineStr">
        <is>
          <t>HR Manager</t>
        </is>
      </c>
      <c r="L351" s="12" t="inlineStr">
        <is>
          <t>As a HR Manager, I want to list, view, create, edit, activate/deactivate, delete where safe in Create or Edit Employee, so that the employee master process is completed accurately without duplicate or inconsistent records.</t>
        </is>
      </c>
      <c r="M351" s="12" t="inlineStr">
        <is>
          <t>Enable workforce users to manage employee master through the Create or Edit Employee workflow with real-time status, validations and traceability.</t>
        </is>
      </c>
      <c r="N351" s="12" t="inlineStr">
        <is>
          <t>View access confirmed; required masters and linked records exist; Administration services are available; approval limit is valid.</t>
        </is>
      </c>
      <c r="O35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or edit employee workflow; invalid or conflicting actions are blocked with clear messages; saved changes appear in related screens; sensitive changes are auditable.</t>
        </is>
      </c>
      <c r="P351" s="12" t="inlineStr">
        <is>
          <t>Duplicate submission is idempotent; stale data returns a refresh/conflict message; invalid status transitions are blocked; partial failure rolls back without orphan records.</t>
        </is>
      </c>
      <c r="Q351" s="12" t="inlineStr">
        <is>
          <t>Tenant/property scope; required fields; optimistic locking; timezone-safe dates; reason mandatory for overrides; valid status transition; linked-record integrity</t>
        </is>
      </c>
      <c r="R351" s="12" t="inlineStr">
        <is>
          <t>Administration</t>
        </is>
      </c>
      <c r="S351" s="12" t="inlineStr">
        <is>
          <t>GET, POST, PUT/PATCH, DELETE /api/v1/create-or-edit-employee; lookup, validation and audit endpoints; idempotency for financial/booking writes; entities: employees, shifts, rosters, attendance, leave_requests</t>
        </is>
      </c>
      <c r="T351" s="12" t="inlineStr">
        <is>
          <t>Could Have</t>
        </is>
      </c>
      <c r="U351" s="12" t="inlineStr">
        <is>
          <t>Release 1.2</t>
        </is>
      </c>
      <c r="V351" s="34" t="n">
        <v>5</v>
      </c>
      <c r="W351" s="12" t="inlineStr">
        <is>
          <t>S20-S22</t>
        </is>
      </c>
      <c r="X351" s="12" t="inlineStr">
        <is>
          <t>Backlog</t>
        </is>
      </c>
      <c r="Y351" s="13">
        <f>IF(X351="Done",1,IF(X351="QA",0.9,IF(X351="Code Review",0.75,IF(X351="In Development",0.5,IF(X351="Ready",0.1,0)))))</f>
        <v/>
      </c>
      <c r="Z351" s="12" t="n"/>
      <c r="AA351" s="12" t="inlineStr">
        <is>
          <t>TC-110-B</t>
        </is>
      </c>
      <c r="AB351" s="12" t="inlineStr">
        <is>
          <t>Approved screen design; story reviewed with HR Manager; dependencies, API contract, role permissions and test data identified.</t>
        </is>
      </c>
      <c r="AC351" s="12" t="inlineStr">
        <is>
          <t>Code reviewed; unit, API, UI, RBAC and integration tests pass; accessibility and responsive states verified; audit evidence captured; product owner accepts in staging.</t>
        </is>
      </c>
      <c r="AD351" s="12" t="n"/>
    </row>
    <row r="352" ht="78" customHeight="1" s="43">
      <c r="A352" s="11" t="n">
        <v>3</v>
      </c>
      <c r="B352" s="11" t="n">
        <v>348</v>
      </c>
      <c r="C352" s="12" t="inlineStr">
        <is>
          <t>US-110-03</t>
        </is>
      </c>
      <c r="D352" s="12" t="inlineStr">
        <is>
          <t>Control permissions, overrides and audit for Create or Edit Employee</t>
        </is>
      </c>
      <c r="E352" s="12" t="inlineStr">
        <is>
          <t>EPIC-15</t>
        </is>
      </c>
      <c r="F352" s="12" t="inlineStr">
        <is>
          <t>Workforce</t>
        </is>
      </c>
      <c r="G352" s="12" t="inlineStr">
        <is>
          <t>Employee Master</t>
        </is>
      </c>
      <c r="H352" s="11" t="inlineStr">
        <is>
          <t>SCR-110</t>
        </is>
      </c>
      <c r="I352" s="12" t="inlineStr">
        <is>
          <t>Create or Edit Employee</t>
        </is>
      </c>
      <c r="J352" s="12" t="inlineStr">
        <is>
          <t>Security / Exceptions</t>
        </is>
      </c>
      <c r="K352" s="12" t="inlineStr">
        <is>
          <t>HR Manager</t>
        </is>
      </c>
      <c r="L352" s="12" t="inlineStr">
        <is>
          <t>As a department supervisor or auditor, I want sensitive actions in Create or Edit Employee to follow permissions, approval limits and audit rules, so that resort operations remain secure, compliant and traceable.</t>
        </is>
      </c>
      <c r="M352" s="12" t="inlineStr">
        <is>
          <t>Reduces fraud, privacy leakage, unauthorized overrides and unresolved operational disputes.</t>
        </is>
      </c>
      <c r="N352" s="12" t="inlineStr">
        <is>
          <t>Roles, permissions, approval hierarchy and audit service are configured; allowed and denied test users exist.</t>
        </is>
      </c>
      <c r="O35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52" s="12" t="inlineStr">
        <is>
          <t>Tampered IDs, expired sessions, approval-limit violations and cross-tenant requests are rejected; secrets and sensitive guest/payment fields are never written to logs.</t>
        </is>
      </c>
      <c r="Q352" s="12" t="inlineStr">
        <is>
          <t>Tenant/property scope; required fields; optimistic locking; timezone-safe dates; reason mandatory for overrides; valid status transition; linked-record integrity</t>
        </is>
      </c>
      <c r="R352" s="12" t="inlineStr">
        <is>
          <t>Administration</t>
        </is>
      </c>
      <c r="S352" s="12" t="inlineStr">
        <is>
          <t>GET, POST, PUT/PATCH, DELETE /api/v1/create-or-edit-employee; lookup, validation and audit endpoints; idempotency for financial/booking writes; entities: employees, shifts, rosters, attendance, leave_requests</t>
        </is>
      </c>
      <c r="T352" s="12" t="inlineStr">
        <is>
          <t>Could Have</t>
        </is>
      </c>
      <c r="U352" s="12" t="inlineStr">
        <is>
          <t>Release 1.2</t>
        </is>
      </c>
      <c r="V352" s="34" t="n">
        <v>3</v>
      </c>
      <c r="W352" s="12" t="inlineStr">
        <is>
          <t>S20-S22</t>
        </is>
      </c>
      <c r="X352" s="12" t="inlineStr">
        <is>
          <t>Backlog</t>
        </is>
      </c>
      <c r="Y352" s="13">
        <f>IF(X352="Done",1,IF(X352="QA",0.9,IF(X352="Code Review",0.75,IF(X352="In Development",0.5,IF(X352="Ready",0.1,0)))))</f>
        <v/>
      </c>
      <c r="Z352" s="12" t="n"/>
      <c r="AA352" s="12" t="inlineStr">
        <is>
          <t>TC-110-C</t>
        </is>
      </c>
      <c r="AB352" s="12" t="inlineStr">
        <is>
          <t>Approved screen design; story reviewed with HR Manager; dependencies, API contract, role permissions and test data identified.</t>
        </is>
      </c>
      <c r="AC352" s="12" t="inlineStr">
        <is>
          <t>Code reviewed; unit, API, UI, RBAC and integration tests pass; accessibility and responsive states verified; audit evidence captured; product owner accepts in staging.</t>
        </is>
      </c>
      <c r="AD352" s="12" t="n"/>
    </row>
    <row r="353" ht="78" customHeight="1" s="43">
      <c r="A353" s="11" t="n">
        <v>3</v>
      </c>
      <c r="B353" s="11" t="n">
        <v>349</v>
      </c>
      <c r="C353" s="12" t="inlineStr">
        <is>
          <t>US-111-01</t>
        </is>
      </c>
      <c r="D353" s="12" t="inlineStr">
        <is>
          <t>View and find information in Leave and Attendance Management</t>
        </is>
      </c>
      <c r="E353" s="12" t="inlineStr">
        <is>
          <t>EPIC-15</t>
        </is>
      </c>
      <c r="F353" s="12" t="inlineStr">
        <is>
          <t>Workforce</t>
        </is>
      </c>
      <c r="G353" s="12" t="inlineStr">
        <is>
          <t>Time &amp; Leave</t>
        </is>
      </c>
      <c r="H353" s="11" t="inlineStr">
        <is>
          <t>SCR-111</t>
        </is>
      </c>
      <c r="I353" s="12" t="inlineStr">
        <is>
          <t>Leave and Attendance Management</t>
        </is>
      </c>
      <c r="J353" s="12" t="inlineStr">
        <is>
          <t>View / Search</t>
        </is>
      </c>
      <c r="K353" s="12" t="inlineStr">
        <is>
          <t>HR Manager</t>
        </is>
      </c>
      <c r="L353" s="12" t="inlineStr">
        <is>
          <t>As a HR Manager, I want to open Leave and Attendance Management and find relevant records using search, filters and sorting, so that I can make accurate operational decisions.</t>
        </is>
      </c>
      <c r="M353" s="12" t="inlineStr">
        <is>
          <t>Provides timely visibility for time &amp; leave and reduces manual lookup effort.</t>
        </is>
      </c>
      <c r="N353" s="12" t="inlineStr">
        <is>
          <t>Authenticated user; active property; view permission for Workforce; Administration data available.</t>
        </is>
      </c>
      <c r="O353" s="12" t="inlineStr">
        <is>
          <t>Given I am authenticated as HR Manager with access to the selected property, when I open Leave and Attendance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53" s="12" t="inlineStr">
        <is>
          <t>Cross-property data never appears; unauthorized fields are masked; invalid filters do not break the screen; unavailable services return a controlled message.</t>
        </is>
      </c>
      <c r="Q353" s="12" t="inlineStr">
        <is>
          <t>Tenant/property scope; required fields; optimistic locking; timezone-safe dates; reason mandatory for overrides; valid status transition; linked-record integrity</t>
        </is>
      </c>
      <c r="R353" s="12" t="inlineStr">
        <is>
          <t>Administration</t>
        </is>
      </c>
      <c r="S353" s="12" t="inlineStr">
        <is>
          <t>GET, POST, PUT/PATCH, DELETE /api/v1/leave-and-attendance-management; lookup, validation and audit endpoints; idempotency for financial/booking writes; entities: employees, shifts, rosters, attendance, leave_requests</t>
        </is>
      </c>
      <c r="T353" s="12" t="inlineStr">
        <is>
          <t>Could Have</t>
        </is>
      </c>
      <c r="U353" s="12" t="inlineStr">
        <is>
          <t>Release 1.2</t>
        </is>
      </c>
      <c r="V353" s="34" t="n">
        <v>3</v>
      </c>
      <c r="W353" s="12" t="inlineStr">
        <is>
          <t>S20-S22</t>
        </is>
      </c>
      <c r="X353" s="12" t="inlineStr">
        <is>
          <t>Backlog</t>
        </is>
      </c>
      <c r="Y353" s="13">
        <f>IF(X353="Done",1,IF(X353="QA",0.9,IF(X353="Code Review",0.75,IF(X353="In Development",0.5,IF(X353="Ready",0.1,0)))))</f>
        <v/>
      </c>
      <c r="Z353" s="12" t="n"/>
      <c r="AA353" s="12" t="inlineStr">
        <is>
          <t>TC-111-A</t>
        </is>
      </c>
      <c r="AB353" s="12" t="inlineStr">
        <is>
          <t>Approved screen design; story reviewed with HR Manager; dependencies, API contract, role permissions and test data identified.</t>
        </is>
      </c>
      <c r="AC353" s="12" t="inlineStr">
        <is>
          <t>Code reviewed; unit, API, UI, RBAC and integration tests pass; accessibility and responsive states verified; audit evidence captured; product owner accepts in staging.</t>
        </is>
      </c>
      <c r="AD353" s="12" t="n"/>
    </row>
    <row r="354" ht="78" customHeight="1" s="43">
      <c r="A354" s="11" t="n">
        <v>3</v>
      </c>
      <c r="B354" s="11" t="n">
        <v>350</v>
      </c>
      <c r="C354" s="12" t="inlineStr">
        <is>
          <t>US-111-02</t>
        </is>
      </c>
      <c r="D354" s="12" t="inlineStr">
        <is>
          <t>Complete the primary Leave and Attendance Management workflow</t>
        </is>
      </c>
      <c r="E354" s="12" t="inlineStr">
        <is>
          <t>EPIC-15</t>
        </is>
      </c>
      <c r="F354" s="12" t="inlineStr">
        <is>
          <t>Workforce</t>
        </is>
      </c>
      <c r="G354" s="12" t="inlineStr">
        <is>
          <t>Time &amp; Leave</t>
        </is>
      </c>
      <c r="H354" s="11" t="inlineStr">
        <is>
          <t>SCR-111</t>
        </is>
      </c>
      <c r="I354" s="12" t="inlineStr">
        <is>
          <t>Leave and Attendance Management</t>
        </is>
      </c>
      <c r="J354" s="12" t="inlineStr">
        <is>
          <t>Primary Workflow</t>
        </is>
      </c>
      <c r="K354" s="12" t="inlineStr">
        <is>
          <t>HR Manager</t>
        </is>
      </c>
      <c r="L354" s="12" t="inlineStr">
        <is>
          <t>As a HR Manager, I want to list, view, create, edit, activate/deactivate, delete where safe in Leave and Attendance Management, so that the time &amp; leave process is completed accurately without duplicate or inconsistent records.</t>
        </is>
      </c>
      <c r="M354" s="12" t="inlineStr">
        <is>
          <t>Enable workforce users to manage time &amp; leave through the Leave and Attendance Management workflow with real-time status, validations and traceability.</t>
        </is>
      </c>
      <c r="N354" s="12" t="inlineStr">
        <is>
          <t>View access confirmed; required masters and linked records exist; Administration services are available; approval limit is valid.</t>
        </is>
      </c>
      <c r="O35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leave and attendance management workflow; invalid or conflicting actions are blocked with clear messages; saved changes appear in related screens; sensitive changes are auditable.</t>
        </is>
      </c>
      <c r="P354" s="12" t="inlineStr">
        <is>
          <t>Duplicate submission is idempotent; stale data returns a refresh/conflict message; invalid status transitions are blocked; partial failure rolls back without orphan records.</t>
        </is>
      </c>
      <c r="Q354" s="12" t="inlineStr">
        <is>
          <t>Tenant/property scope; required fields; optimistic locking; timezone-safe dates; reason mandatory for overrides; valid status transition; linked-record integrity</t>
        </is>
      </c>
      <c r="R354" s="12" t="inlineStr">
        <is>
          <t>Administration</t>
        </is>
      </c>
      <c r="S354" s="12" t="inlineStr">
        <is>
          <t>GET, POST, PUT/PATCH, DELETE /api/v1/leave-and-attendance-management; lookup, validation and audit endpoints; idempotency for financial/booking writes; entities: employees, shifts, rosters, attendance, leave_requests</t>
        </is>
      </c>
      <c r="T354" s="12" t="inlineStr">
        <is>
          <t>Could Have</t>
        </is>
      </c>
      <c r="U354" s="12" t="inlineStr">
        <is>
          <t>Release 1.2</t>
        </is>
      </c>
      <c r="V354" s="34" t="n">
        <v>5</v>
      </c>
      <c r="W354" s="12" t="inlineStr">
        <is>
          <t>S20-S22</t>
        </is>
      </c>
      <c r="X354" s="12" t="inlineStr">
        <is>
          <t>Backlog</t>
        </is>
      </c>
      <c r="Y354" s="13">
        <f>IF(X354="Done",1,IF(X354="QA",0.9,IF(X354="Code Review",0.75,IF(X354="In Development",0.5,IF(X354="Ready",0.1,0)))))</f>
        <v/>
      </c>
      <c r="Z354" s="12" t="n"/>
      <c r="AA354" s="12" t="inlineStr">
        <is>
          <t>TC-111-B</t>
        </is>
      </c>
      <c r="AB354" s="12" t="inlineStr">
        <is>
          <t>Approved screen design; story reviewed with HR Manager; dependencies, API contract, role permissions and test data identified.</t>
        </is>
      </c>
      <c r="AC354" s="12" t="inlineStr">
        <is>
          <t>Code reviewed; unit, API, UI, RBAC and integration tests pass; accessibility and responsive states verified; audit evidence captured; product owner accepts in staging.</t>
        </is>
      </c>
      <c r="AD354" s="12" t="n"/>
    </row>
    <row r="355" ht="78" customHeight="1" s="43">
      <c r="A355" s="11" t="n">
        <v>3</v>
      </c>
      <c r="B355" s="11" t="n">
        <v>351</v>
      </c>
      <c r="C355" s="12" t="inlineStr">
        <is>
          <t>US-111-03</t>
        </is>
      </c>
      <c r="D355" s="12" t="inlineStr">
        <is>
          <t>Control permissions, overrides and audit for Leave and Attendance Management</t>
        </is>
      </c>
      <c r="E355" s="12" t="inlineStr">
        <is>
          <t>EPIC-15</t>
        </is>
      </c>
      <c r="F355" s="12" t="inlineStr">
        <is>
          <t>Workforce</t>
        </is>
      </c>
      <c r="G355" s="12" t="inlineStr">
        <is>
          <t>Time &amp; Leave</t>
        </is>
      </c>
      <c r="H355" s="11" t="inlineStr">
        <is>
          <t>SCR-111</t>
        </is>
      </c>
      <c r="I355" s="12" t="inlineStr">
        <is>
          <t>Leave and Attendance Management</t>
        </is>
      </c>
      <c r="J355" s="12" t="inlineStr">
        <is>
          <t>Security / Exceptions</t>
        </is>
      </c>
      <c r="K355" s="12" t="inlineStr">
        <is>
          <t>HR Manager</t>
        </is>
      </c>
      <c r="L355" s="12" t="inlineStr">
        <is>
          <t>As a department supervisor or auditor, I want sensitive actions in Leave and Attendance Management to follow permissions, approval limits and audit rules, so that resort operations remain secure, compliant and traceable.</t>
        </is>
      </c>
      <c r="M355" s="12" t="inlineStr">
        <is>
          <t>Reduces fraud, privacy leakage, unauthorized overrides and unresolved operational disputes.</t>
        </is>
      </c>
      <c r="N355" s="12" t="inlineStr">
        <is>
          <t>Roles, permissions, approval hierarchy and audit service are configured; allowed and denied test users exist.</t>
        </is>
      </c>
      <c r="O35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55" s="12" t="inlineStr">
        <is>
          <t>Tampered IDs, expired sessions, approval-limit violations and cross-tenant requests are rejected; secrets and sensitive guest/payment fields are never written to logs.</t>
        </is>
      </c>
      <c r="Q355" s="12" t="inlineStr">
        <is>
          <t>Tenant/property scope; required fields; optimistic locking; timezone-safe dates; reason mandatory for overrides; valid status transition; linked-record integrity</t>
        </is>
      </c>
      <c r="R355" s="12" t="inlineStr">
        <is>
          <t>Administration</t>
        </is>
      </c>
      <c r="S355" s="12" t="inlineStr">
        <is>
          <t>GET, POST, PUT/PATCH, DELETE /api/v1/leave-and-attendance-management; lookup, validation and audit endpoints; idempotency for financial/booking writes; entities: employees, shifts, rosters, attendance, leave_requests</t>
        </is>
      </c>
      <c r="T355" s="12" t="inlineStr">
        <is>
          <t>Could Have</t>
        </is>
      </c>
      <c r="U355" s="12" t="inlineStr">
        <is>
          <t>Release 1.2</t>
        </is>
      </c>
      <c r="V355" s="34" t="n">
        <v>3</v>
      </c>
      <c r="W355" s="12" t="inlineStr">
        <is>
          <t>S20-S22</t>
        </is>
      </c>
      <c r="X355" s="12" t="inlineStr">
        <is>
          <t>Backlog</t>
        </is>
      </c>
      <c r="Y355" s="13">
        <f>IF(X355="Done",1,IF(X355="QA",0.9,IF(X355="Code Review",0.75,IF(X355="In Development",0.5,IF(X355="Ready",0.1,0)))))</f>
        <v/>
      </c>
      <c r="Z355" s="12" t="n"/>
      <c r="AA355" s="12" t="inlineStr">
        <is>
          <t>TC-111-C</t>
        </is>
      </c>
      <c r="AB355" s="12" t="inlineStr">
        <is>
          <t>Approved screen design; story reviewed with HR Manager; dependencies, API contract, role permissions and test data identified.</t>
        </is>
      </c>
      <c r="AC355" s="12" t="inlineStr">
        <is>
          <t>Code reviewed; unit, API, UI, RBAC and integration tests pass; accessibility and responsive states verified; audit evidence captured; product owner accepts in staging.</t>
        </is>
      </c>
      <c r="AD355" s="12" t="n"/>
    </row>
    <row r="356" ht="78" customHeight="1" s="43">
      <c r="A356" s="11" t="n">
        <v>3</v>
      </c>
      <c r="B356" s="11" t="n">
        <v>352</v>
      </c>
      <c r="C356" s="12" t="inlineStr">
        <is>
          <t>US-112-01</t>
        </is>
      </c>
      <c r="D356" s="12" t="inlineStr">
        <is>
          <t>View and find information in Shift Template and Creation</t>
        </is>
      </c>
      <c r="E356" s="12" t="inlineStr">
        <is>
          <t>EPIC-15</t>
        </is>
      </c>
      <c r="F356" s="12" t="inlineStr">
        <is>
          <t>Workforce</t>
        </is>
      </c>
      <c r="G356" s="12" t="inlineStr">
        <is>
          <t>Shift Setup</t>
        </is>
      </c>
      <c r="H356" s="11" t="inlineStr">
        <is>
          <t>SCR-112</t>
        </is>
      </c>
      <c r="I356" s="12" t="inlineStr">
        <is>
          <t>Shift Template and Creation</t>
        </is>
      </c>
      <c r="J356" s="12" t="inlineStr">
        <is>
          <t>View / Search</t>
        </is>
      </c>
      <c r="K356" s="12" t="inlineStr">
        <is>
          <t>HR Manager</t>
        </is>
      </c>
      <c r="L356" s="12" t="inlineStr">
        <is>
          <t>As a HR Manager, I want to open Shift Template and Creation and find relevant records using search, filters and sorting, so that I can make accurate operational decisions.</t>
        </is>
      </c>
      <c r="M356" s="12" t="inlineStr">
        <is>
          <t>Provides timely visibility for shift setup and reduces manual lookup effort.</t>
        </is>
      </c>
      <c r="N356" s="12" t="inlineStr">
        <is>
          <t>Authenticated user; active property; view permission for Workforce; Administration data available.</t>
        </is>
      </c>
      <c r="O356" s="12" t="inlineStr">
        <is>
          <t>Given I am authenticated as HR Manager with access to the selected property, when I open Shift Template and Creation,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56" s="12" t="inlineStr">
        <is>
          <t>Cross-property data never appears; unauthorized fields are masked; invalid filters do not break the screen; unavailable services return a controlled message.</t>
        </is>
      </c>
      <c r="Q356" s="12" t="inlineStr">
        <is>
          <t>Tenant/property scope; required fields; optimistic locking; timezone-safe dates; reason mandatory for overrides; valid status transition; linked-record integrity</t>
        </is>
      </c>
      <c r="R356" s="12" t="inlineStr">
        <is>
          <t>Administration</t>
        </is>
      </c>
      <c r="S356" s="12" t="inlineStr">
        <is>
          <t>GET, POST, PUT/PATCH, DELETE /api/v1/shift-template-and-creation; lookup, validation and audit endpoints; idempotency for financial/booking writes; entities: employees, shifts, rosters, attendance, leave_requests</t>
        </is>
      </c>
      <c r="T356" s="12" t="inlineStr">
        <is>
          <t>Could Have</t>
        </is>
      </c>
      <c r="U356" s="12" t="inlineStr">
        <is>
          <t>Release 1.2</t>
        </is>
      </c>
      <c r="V356" s="34" t="n">
        <v>3</v>
      </c>
      <c r="W356" s="12" t="inlineStr">
        <is>
          <t>S20-S22</t>
        </is>
      </c>
      <c r="X356" s="12" t="inlineStr">
        <is>
          <t>Backlog</t>
        </is>
      </c>
      <c r="Y356" s="13">
        <f>IF(X356="Done",1,IF(X356="QA",0.9,IF(X356="Code Review",0.75,IF(X356="In Development",0.5,IF(X356="Ready",0.1,0)))))</f>
        <v/>
      </c>
      <c r="Z356" s="12" t="n"/>
      <c r="AA356" s="12" t="inlineStr">
        <is>
          <t>TC-112-A</t>
        </is>
      </c>
      <c r="AB356" s="12" t="inlineStr">
        <is>
          <t>Approved screen design; story reviewed with HR Manager; dependencies, API contract, role permissions and test data identified.</t>
        </is>
      </c>
      <c r="AC356" s="12" t="inlineStr">
        <is>
          <t>Code reviewed; unit, API, UI, RBAC and integration tests pass; accessibility and responsive states verified; audit evidence captured; product owner accepts in staging.</t>
        </is>
      </c>
      <c r="AD356" s="12" t="n"/>
    </row>
    <row r="357" ht="78" customHeight="1" s="43">
      <c r="A357" s="11" t="n">
        <v>3</v>
      </c>
      <c r="B357" s="11" t="n">
        <v>353</v>
      </c>
      <c r="C357" s="12" t="inlineStr">
        <is>
          <t>US-112-02</t>
        </is>
      </c>
      <c r="D357" s="12" t="inlineStr">
        <is>
          <t>Complete the primary Shift Template and Creation workflow</t>
        </is>
      </c>
      <c r="E357" s="12" t="inlineStr">
        <is>
          <t>EPIC-15</t>
        </is>
      </c>
      <c r="F357" s="12" t="inlineStr">
        <is>
          <t>Workforce</t>
        </is>
      </c>
      <c r="G357" s="12" t="inlineStr">
        <is>
          <t>Shift Setup</t>
        </is>
      </c>
      <c r="H357" s="11" t="inlineStr">
        <is>
          <t>SCR-112</t>
        </is>
      </c>
      <c r="I357" s="12" t="inlineStr">
        <is>
          <t>Shift Template and Creation</t>
        </is>
      </c>
      <c r="J357" s="12" t="inlineStr">
        <is>
          <t>Primary Workflow</t>
        </is>
      </c>
      <c r="K357" s="12" t="inlineStr">
        <is>
          <t>HR Manager</t>
        </is>
      </c>
      <c r="L357" s="12" t="inlineStr">
        <is>
          <t>As a HR Manager, I want to list, search, filter, view, create, edit, cancel/delete under policy, export in Shift Template and Creation, so that the shift setup process is completed accurately without duplicate or inconsistent records.</t>
        </is>
      </c>
      <c r="M357" s="12" t="inlineStr">
        <is>
          <t>Enable workforce users to manage shift setup through the Shift Template and Creation workflow with real-time status, validations and traceability.</t>
        </is>
      </c>
      <c r="N357" s="12" t="inlineStr">
        <is>
          <t>View access confirmed; required masters and linked records exist; Administration services are available; approval limit is valid.</t>
        </is>
      </c>
      <c r="O35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shift template and creation workflow; invalid or conflicting actions are blocked with clear messages; saved changes appear in related screens; sensitive changes are auditable.</t>
        </is>
      </c>
      <c r="P357" s="12" t="inlineStr">
        <is>
          <t>Duplicate submission is idempotent; stale data returns a refresh/conflict message; invalid status transitions are blocked; partial failure rolls back without orphan records.</t>
        </is>
      </c>
      <c r="Q357" s="12" t="inlineStr">
        <is>
          <t>Tenant/property scope; required fields; optimistic locking; timezone-safe dates; reason mandatory for overrides; valid status transition; linked-record integrity</t>
        </is>
      </c>
      <c r="R357" s="12" t="inlineStr">
        <is>
          <t>Administration</t>
        </is>
      </c>
      <c r="S357" s="12" t="inlineStr">
        <is>
          <t>GET, POST, PUT/PATCH, DELETE /api/v1/shift-template-and-creation; lookup, validation and audit endpoints; idempotency for financial/booking writes; entities: employees, shifts, rosters, attendance, leave_requests</t>
        </is>
      </c>
      <c r="T357" s="12" t="inlineStr">
        <is>
          <t>Could Have</t>
        </is>
      </c>
      <c r="U357" s="12" t="inlineStr">
        <is>
          <t>Release 1.2</t>
        </is>
      </c>
      <c r="V357" s="34" t="n">
        <v>5</v>
      </c>
      <c r="W357" s="12" t="inlineStr">
        <is>
          <t>S20-S22</t>
        </is>
      </c>
      <c r="X357" s="12" t="inlineStr">
        <is>
          <t>Backlog</t>
        </is>
      </c>
      <c r="Y357" s="13">
        <f>IF(X357="Done",1,IF(X357="QA",0.9,IF(X357="Code Review",0.75,IF(X357="In Development",0.5,IF(X357="Ready",0.1,0)))))</f>
        <v/>
      </c>
      <c r="Z357" s="12" t="n"/>
      <c r="AA357" s="12" t="inlineStr">
        <is>
          <t>TC-112-B</t>
        </is>
      </c>
      <c r="AB357" s="12" t="inlineStr">
        <is>
          <t>Approved screen design; story reviewed with HR Manager; dependencies, API contract, role permissions and test data identified.</t>
        </is>
      </c>
      <c r="AC357" s="12" t="inlineStr">
        <is>
          <t>Code reviewed; unit, API, UI, RBAC and integration tests pass; accessibility and responsive states verified; audit evidence captured; product owner accepts in staging.</t>
        </is>
      </c>
      <c r="AD357" s="12" t="n"/>
    </row>
    <row r="358" ht="78" customHeight="1" s="43">
      <c r="A358" s="11" t="n">
        <v>3</v>
      </c>
      <c r="B358" s="11" t="n">
        <v>354</v>
      </c>
      <c r="C358" s="12" t="inlineStr">
        <is>
          <t>US-112-03</t>
        </is>
      </c>
      <c r="D358" s="12" t="inlineStr">
        <is>
          <t>Control permissions, overrides and audit for Shift Template and Creation</t>
        </is>
      </c>
      <c r="E358" s="12" t="inlineStr">
        <is>
          <t>EPIC-15</t>
        </is>
      </c>
      <c r="F358" s="12" t="inlineStr">
        <is>
          <t>Workforce</t>
        </is>
      </c>
      <c r="G358" s="12" t="inlineStr">
        <is>
          <t>Shift Setup</t>
        </is>
      </c>
      <c r="H358" s="11" t="inlineStr">
        <is>
          <t>SCR-112</t>
        </is>
      </c>
      <c r="I358" s="12" t="inlineStr">
        <is>
          <t>Shift Template and Creation</t>
        </is>
      </c>
      <c r="J358" s="12" t="inlineStr">
        <is>
          <t>Security / Exceptions</t>
        </is>
      </c>
      <c r="K358" s="12" t="inlineStr">
        <is>
          <t>HR Manager</t>
        </is>
      </c>
      <c r="L358" s="12" t="inlineStr">
        <is>
          <t>As a department supervisor or auditor, I want sensitive actions in Shift Template and Creation to follow permissions, approval limits and audit rules, so that resort operations remain secure, compliant and traceable.</t>
        </is>
      </c>
      <c r="M358" s="12" t="inlineStr">
        <is>
          <t>Reduces fraud, privacy leakage, unauthorized overrides and unresolved operational disputes.</t>
        </is>
      </c>
      <c r="N358" s="12" t="inlineStr">
        <is>
          <t>Roles, permissions, approval hierarchy and audit service are configured; allowed and denied test users exist.</t>
        </is>
      </c>
      <c r="O35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58" s="12" t="inlineStr">
        <is>
          <t>Tampered IDs, expired sessions, approval-limit violations and cross-tenant requests are rejected; secrets and sensitive guest/payment fields are never written to logs.</t>
        </is>
      </c>
      <c r="Q358" s="12" t="inlineStr">
        <is>
          <t>Tenant/property scope; required fields; optimistic locking; timezone-safe dates; reason mandatory for overrides; valid status transition; linked-record integrity</t>
        </is>
      </c>
      <c r="R358" s="12" t="inlineStr">
        <is>
          <t>Administration</t>
        </is>
      </c>
      <c r="S358" s="12" t="inlineStr">
        <is>
          <t>GET, POST, PUT/PATCH, DELETE /api/v1/shift-template-and-creation; lookup, validation and audit endpoints; idempotency for financial/booking writes; entities: employees, shifts, rosters, attendance, leave_requests</t>
        </is>
      </c>
      <c r="T358" s="12" t="inlineStr">
        <is>
          <t>Could Have</t>
        </is>
      </c>
      <c r="U358" s="12" t="inlineStr">
        <is>
          <t>Release 1.2</t>
        </is>
      </c>
      <c r="V358" s="34" t="n">
        <v>3</v>
      </c>
      <c r="W358" s="12" t="inlineStr">
        <is>
          <t>S20-S22</t>
        </is>
      </c>
      <c r="X358" s="12" t="inlineStr">
        <is>
          <t>Backlog</t>
        </is>
      </c>
      <c r="Y358" s="13">
        <f>IF(X358="Done",1,IF(X358="QA",0.9,IF(X358="Code Review",0.75,IF(X358="In Development",0.5,IF(X358="Ready",0.1,0)))))</f>
        <v/>
      </c>
      <c r="Z358" s="12" t="n"/>
      <c r="AA358" s="12" t="inlineStr">
        <is>
          <t>TC-112-C</t>
        </is>
      </c>
      <c r="AB358" s="12" t="inlineStr">
        <is>
          <t>Approved screen design; story reviewed with HR Manager; dependencies, API contract, role permissions and test data identified.</t>
        </is>
      </c>
      <c r="AC358" s="12" t="inlineStr">
        <is>
          <t>Code reviewed; unit, API, UI, RBAC and integration tests pass; accessibility and responsive states verified; audit evidence captured; product owner accepts in staging.</t>
        </is>
      </c>
      <c r="AD358" s="12" t="n"/>
    </row>
    <row r="359" ht="78" customHeight="1" s="43">
      <c r="A359" s="11" t="n">
        <v>3</v>
      </c>
      <c r="B359" s="11" t="n">
        <v>355</v>
      </c>
      <c r="C359" s="12" t="inlineStr">
        <is>
          <t>US-113-01</t>
        </is>
      </c>
      <c r="D359" s="12" t="inlineStr">
        <is>
          <t>View and find information in Roster Replacement and Shift Swap</t>
        </is>
      </c>
      <c r="E359" s="12" t="inlineStr">
        <is>
          <t>EPIC-15</t>
        </is>
      </c>
      <c r="F359" s="12" t="inlineStr">
        <is>
          <t>Workforce</t>
        </is>
      </c>
      <c r="G359" s="12" t="inlineStr">
        <is>
          <t>Roster Changes</t>
        </is>
      </c>
      <c r="H359" s="11" t="inlineStr">
        <is>
          <t>SCR-113</t>
        </is>
      </c>
      <c r="I359" s="12" t="inlineStr">
        <is>
          <t>Roster Replacement and Shift Swap</t>
        </is>
      </c>
      <c r="J359" s="12" t="inlineStr">
        <is>
          <t>View / Search</t>
        </is>
      </c>
      <c r="K359" s="12" t="inlineStr">
        <is>
          <t>HR Manager</t>
        </is>
      </c>
      <c r="L359" s="12" t="inlineStr">
        <is>
          <t>As a HR Manager, I want to open Roster Replacement and Shift Swap and find relevant records using search, filters and sorting, so that I can make accurate operational decisions.</t>
        </is>
      </c>
      <c r="M359" s="12" t="inlineStr">
        <is>
          <t>Provides timely visibility for roster changes and reduces manual lookup effort.</t>
        </is>
      </c>
      <c r="N359" s="12" t="inlineStr">
        <is>
          <t>Authenticated user; active property; view permission for Workforce; Administration data available.</t>
        </is>
      </c>
      <c r="O359" s="12" t="inlineStr">
        <is>
          <t>Given I am authenticated as HR Manager with access to the selected property, when I open Roster Replacement and Shift Swap,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59" s="12" t="inlineStr">
        <is>
          <t>Cross-property data never appears; unauthorized fields are masked; invalid filters do not break the screen; unavailable services return a controlled message.</t>
        </is>
      </c>
      <c r="Q359" s="12" t="inlineStr">
        <is>
          <t>Tenant/property scope; required fields; optimistic locking; timezone-safe dates; reason mandatory for overrides; valid status transition; linked-record integrity</t>
        </is>
      </c>
      <c r="R359" s="12" t="inlineStr">
        <is>
          <t>Administration</t>
        </is>
      </c>
      <c r="S359" s="12" t="inlineStr">
        <is>
          <t>GET, POST, PUT/PATCH, DELETE /api/v1/roster-replacement-and-shift-swap; lookup, validation and audit endpoints; idempotency for financial/booking writes; entities: employees, shifts, rosters, attendance, leave_requests</t>
        </is>
      </c>
      <c r="T359" s="12" t="inlineStr">
        <is>
          <t>Could Have</t>
        </is>
      </c>
      <c r="U359" s="12" t="inlineStr">
        <is>
          <t>Release 1.2</t>
        </is>
      </c>
      <c r="V359" s="34" t="n">
        <v>3</v>
      </c>
      <c r="W359" s="12" t="inlineStr">
        <is>
          <t>S20-S22</t>
        </is>
      </c>
      <c r="X359" s="12" t="inlineStr">
        <is>
          <t>Backlog</t>
        </is>
      </c>
      <c r="Y359" s="13">
        <f>IF(X359="Done",1,IF(X359="QA",0.9,IF(X359="Code Review",0.75,IF(X359="In Development",0.5,IF(X359="Ready",0.1,0)))))</f>
        <v/>
      </c>
      <c r="Z359" s="12" t="n"/>
      <c r="AA359" s="12" t="inlineStr">
        <is>
          <t>TC-113-A</t>
        </is>
      </c>
      <c r="AB359" s="12" t="inlineStr">
        <is>
          <t>Approved screen design; story reviewed with HR Manager; dependencies, API contract, role permissions and test data identified.</t>
        </is>
      </c>
      <c r="AC359" s="12" t="inlineStr">
        <is>
          <t>Code reviewed; unit, API, UI, RBAC and integration tests pass; accessibility and responsive states verified; audit evidence captured; product owner accepts in staging.</t>
        </is>
      </c>
      <c r="AD359" s="12" t="n"/>
    </row>
    <row r="360" ht="78" customHeight="1" s="43">
      <c r="A360" s="11" t="n">
        <v>3</v>
      </c>
      <c r="B360" s="11" t="n">
        <v>356</v>
      </c>
      <c r="C360" s="12" t="inlineStr">
        <is>
          <t>US-113-02</t>
        </is>
      </c>
      <c r="D360" s="12" t="inlineStr">
        <is>
          <t>Complete the primary Roster Replacement and Shift Swap workflow</t>
        </is>
      </c>
      <c r="E360" s="12" t="inlineStr">
        <is>
          <t>EPIC-15</t>
        </is>
      </c>
      <c r="F360" s="12" t="inlineStr">
        <is>
          <t>Workforce</t>
        </is>
      </c>
      <c r="G360" s="12" t="inlineStr">
        <is>
          <t>Roster Changes</t>
        </is>
      </c>
      <c r="H360" s="11" t="inlineStr">
        <is>
          <t>SCR-113</t>
        </is>
      </c>
      <c r="I360" s="12" t="inlineStr">
        <is>
          <t>Roster Replacement and Shift Swap</t>
        </is>
      </c>
      <c r="J360" s="12" t="inlineStr">
        <is>
          <t>Primary Workflow</t>
        </is>
      </c>
      <c r="K360" s="12" t="inlineStr">
        <is>
          <t>HR Manager</t>
        </is>
      </c>
      <c r="L360" s="12" t="inlineStr">
        <is>
          <t>As a HR Manager, I want to view timeline, filter, create, assign, reschedule, conflict-check, cancel in Roster Replacement and Shift Swap, so that the roster changes process is completed accurately without duplicate or inconsistent records.</t>
        </is>
      </c>
      <c r="M360" s="12" t="inlineStr">
        <is>
          <t>Enable workforce users to manage roster changes through the Roster Replacement and Shift Swap workflow with real-time status, validations and traceability.</t>
        </is>
      </c>
      <c r="N360" s="12" t="inlineStr">
        <is>
          <t>View access confirmed; required masters and linked records exist; Administration services are available; approval limit is valid.</t>
        </is>
      </c>
      <c r="O36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roster replacement and shift swap workflow; invalid or conflicting actions are blocked with clear messages; saved changes appear in related screens; sensitive changes are auditable.</t>
        </is>
      </c>
      <c r="P360" s="12" t="inlineStr">
        <is>
          <t>Duplicate submission is idempotent; stale data returns a refresh/conflict message; invalid status transitions are blocked; partial failure rolls back without orphan records.</t>
        </is>
      </c>
      <c r="Q360" s="12" t="inlineStr">
        <is>
          <t>Tenant/property scope; required fields; optimistic locking; timezone-safe dates; reason mandatory for overrides; valid status transition; linked-record integrity</t>
        </is>
      </c>
      <c r="R360" s="12" t="inlineStr">
        <is>
          <t>Administration</t>
        </is>
      </c>
      <c r="S360" s="12" t="inlineStr">
        <is>
          <t>GET, POST, PUT/PATCH, DELETE /api/v1/roster-replacement-and-shift-swap; lookup, validation and audit endpoints; idempotency for financial/booking writes; entities: employees, shifts, rosters, attendance, leave_requests</t>
        </is>
      </c>
      <c r="T360" s="12" t="inlineStr">
        <is>
          <t>Could Have</t>
        </is>
      </c>
      <c r="U360" s="12" t="inlineStr">
        <is>
          <t>Release 1.2</t>
        </is>
      </c>
      <c r="V360" s="34" t="n">
        <v>5</v>
      </c>
      <c r="W360" s="12" t="inlineStr">
        <is>
          <t>S20-S22</t>
        </is>
      </c>
      <c r="X360" s="12" t="inlineStr">
        <is>
          <t>Backlog</t>
        </is>
      </c>
      <c r="Y360" s="13">
        <f>IF(X360="Done",1,IF(X360="QA",0.9,IF(X360="Code Review",0.75,IF(X360="In Development",0.5,IF(X360="Ready",0.1,0)))))</f>
        <v/>
      </c>
      <c r="Z360" s="12" t="n"/>
      <c r="AA360" s="12" t="inlineStr">
        <is>
          <t>TC-113-B</t>
        </is>
      </c>
      <c r="AB360" s="12" t="inlineStr">
        <is>
          <t>Approved screen design; story reviewed with HR Manager; dependencies, API contract, role permissions and test data identified.</t>
        </is>
      </c>
      <c r="AC360" s="12" t="inlineStr">
        <is>
          <t>Code reviewed; unit, API, UI, RBAC and integration tests pass; accessibility and responsive states verified; audit evidence captured; product owner accepts in staging.</t>
        </is>
      </c>
      <c r="AD360" s="12" t="n"/>
    </row>
    <row r="361" ht="78" customHeight="1" s="43">
      <c r="A361" s="11" t="n">
        <v>3</v>
      </c>
      <c r="B361" s="11" t="n">
        <v>357</v>
      </c>
      <c r="C361" s="12" t="inlineStr">
        <is>
          <t>US-113-03</t>
        </is>
      </c>
      <c r="D361" s="12" t="inlineStr">
        <is>
          <t>Control permissions, overrides and audit for Roster Replacement and Shift Swap</t>
        </is>
      </c>
      <c r="E361" s="12" t="inlineStr">
        <is>
          <t>EPIC-15</t>
        </is>
      </c>
      <c r="F361" s="12" t="inlineStr">
        <is>
          <t>Workforce</t>
        </is>
      </c>
      <c r="G361" s="12" t="inlineStr">
        <is>
          <t>Roster Changes</t>
        </is>
      </c>
      <c r="H361" s="11" t="inlineStr">
        <is>
          <t>SCR-113</t>
        </is>
      </c>
      <c r="I361" s="12" t="inlineStr">
        <is>
          <t>Roster Replacement and Shift Swap</t>
        </is>
      </c>
      <c r="J361" s="12" t="inlineStr">
        <is>
          <t>Security / Exceptions</t>
        </is>
      </c>
      <c r="K361" s="12" t="inlineStr">
        <is>
          <t>HR Manager</t>
        </is>
      </c>
      <c r="L361" s="12" t="inlineStr">
        <is>
          <t>As a department supervisor or auditor, I want sensitive actions in Roster Replacement and Shift Swap to follow permissions, approval limits and audit rules, so that resort operations remain secure, compliant and traceable.</t>
        </is>
      </c>
      <c r="M361" s="12" t="inlineStr">
        <is>
          <t>Reduces fraud, privacy leakage, unauthorized overrides and unresolved operational disputes.</t>
        </is>
      </c>
      <c r="N361" s="12" t="inlineStr">
        <is>
          <t>Roles, permissions, approval hierarchy and audit service are configured; allowed and denied test users exist.</t>
        </is>
      </c>
      <c r="O36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61" s="12" t="inlineStr">
        <is>
          <t>Tampered IDs, expired sessions, approval-limit violations and cross-tenant requests are rejected; secrets and sensitive guest/payment fields are never written to logs.</t>
        </is>
      </c>
      <c r="Q361" s="12" t="inlineStr">
        <is>
          <t>Tenant/property scope; required fields; optimistic locking; timezone-safe dates; reason mandatory for overrides; valid status transition; linked-record integrity</t>
        </is>
      </c>
      <c r="R361" s="12" t="inlineStr">
        <is>
          <t>Administration</t>
        </is>
      </c>
      <c r="S361" s="12" t="inlineStr">
        <is>
          <t>GET, POST, PUT/PATCH, DELETE /api/v1/roster-replacement-and-shift-swap; lookup, validation and audit endpoints; idempotency for financial/booking writes; entities: employees, shifts, rosters, attendance, leave_requests</t>
        </is>
      </c>
      <c r="T361" s="12" t="inlineStr">
        <is>
          <t>Could Have</t>
        </is>
      </c>
      <c r="U361" s="12" t="inlineStr">
        <is>
          <t>Release 1.2</t>
        </is>
      </c>
      <c r="V361" s="34" t="n">
        <v>3</v>
      </c>
      <c r="W361" s="12" t="inlineStr">
        <is>
          <t>S20-S22</t>
        </is>
      </c>
      <c r="X361" s="12" t="inlineStr">
        <is>
          <t>Backlog</t>
        </is>
      </c>
      <c r="Y361" s="13">
        <f>IF(X361="Done",1,IF(X361="QA",0.9,IF(X361="Code Review",0.75,IF(X361="In Development",0.5,IF(X361="Ready",0.1,0)))))</f>
        <v/>
      </c>
      <c r="Z361" s="12" t="n"/>
      <c r="AA361" s="12" t="inlineStr">
        <is>
          <t>TC-113-C</t>
        </is>
      </c>
      <c r="AB361" s="12" t="inlineStr">
        <is>
          <t>Approved screen design; story reviewed with HR Manager; dependencies, API contract, role permissions and test data identified.</t>
        </is>
      </c>
      <c r="AC361" s="12" t="inlineStr">
        <is>
          <t>Code reviewed; unit, API, UI, RBAC and integration tests pass; accessibility and responsive states verified; audit evidence captured; product owner accepts in staging.</t>
        </is>
      </c>
      <c r="AD361" s="12" t="n"/>
    </row>
    <row r="362" ht="78" customHeight="1" s="43">
      <c r="A362" s="11" t="n">
        <v>3</v>
      </c>
      <c r="B362" s="11" t="n">
        <v>358</v>
      </c>
      <c r="C362" s="12" t="inlineStr">
        <is>
          <t>US-044-01</t>
        </is>
      </c>
      <c r="D362" s="12" t="inlineStr">
        <is>
          <t>View and find information in AI Command Center</t>
        </is>
      </c>
      <c r="E362" s="12" t="inlineStr">
        <is>
          <t>EPIC-23</t>
        </is>
      </c>
      <c r="F362" s="12" t="inlineStr">
        <is>
          <t>AI &amp; Automation</t>
        </is>
      </c>
      <c r="G362" s="12" t="inlineStr">
        <is>
          <t>AI Operations</t>
        </is>
      </c>
      <c r="H362" s="11" t="inlineStr">
        <is>
          <t>SCR-044</t>
        </is>
      </c>
      <c r="I362" s="12" t="inlineStr">
        <is>
          <t>AI Command Center</t>
        </is>
      </c>
      <c r="J362" s="12" t="inlineStr">
        <is>
          <t>View / Search</t>
        </is>
      </c>
      <c r="K362" s="12" t="inlineStr">
        <is>
          <t>AI Admin</t>
        </is>
      </c>
      <c r="L362" s="12" t="inlineStr">
        <is>
          <t>As a AI Admin, I want to open AI Command Center and find relevant records using search, filters and sorting, so that I can make accurate operational decisions.</t>
        </is>
      </c>
      <c r="M362" s="12" t="inlineStr">
        <is>
          <t>Provides timely visibility for ai operations and reduces manual lookup effort.</t>
        </is>
      </c>
      <c r="N362" s="12" t="inlineStr">
        <is>
          <t>Authenticated user; active property; view permission for AI &amp; Automation; Integrations, Communications, PMS APIs data available.</t>
        </is>
      </c>
      <c r="O362" s="12" t="inlineStr">
        <is>
          <t>Given I am authenticated as AI Admin with access to the selected property, when I open AI Command Center,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62" s="12" t="inlineStr">
        <is>
          <t>Cross-property data never appears; unauthorized fields are masked; invalid filters do not break the screen; unavailable services return a controlled message.</t>
        </is>
      </c>
      <c r="Q362" s="12" t="inlineStr">
        <is>
          <t>Tenant/property scope; required fields; optimistic locking; timezone-safe dates; reason mandatory for overrides; least privilege; secret masking; versioning; change approval</t>
        </is>
      </c>
      <c r="R362" s="12" t="inlineStr">
        <is>
          <t>Integrations, Communications, PMS APIs</t>
        </is>
      </c>
      <c r="S362" s="12" t="inlineStr">
        <is>
          <t>GET, POST, PUT/PATCH, DELETE /api/v1/ai-command-center; lookup, validation and audit endpoints; idempotency for financial/booking writes; entities: ai_agents, prompts, knowledge_documents, tool_policies, call_transcripts</t>
        </is>
      </c>
      <c r="T362" s="12" t="inlineStr">
        <is>
          <t>Could Have</t>
        </is>
      </c>
      <c r="U362" s="12" t="inlineStr">
        <is>
          <t>Release 1.2</t>
        </is>
      </c>
      <c r="V362" s="34" t="n">
        <v>3</v>
      </c>
      <c r="W362" s="12" t="inlineStr">
        <is>
          <t>S23-S25</t>
        </is>
      </c>
      <c r="X362" s="12" t="inlineStr">
        <is>
          <t>Backlog</t>
        </is>
      </c>
      <c r="Y362" s="13">
        <f>IF(X362="Done",1,IF(X362="QA",0.9,IF(X362="Code Review",0.75,IF(X362="In Development",0.5,IF(X362="Ready",0.1,0)))))</f>
        <v/>
      </c>
      <c r="Z362" s="12" t="n"/>
      <c r="AA362" s="12" t="inlineStr">
        <is>
          <t>TC-044-A</t>
        </is>
      </c>
      <c r="AB362" s="12" t="inlineStr">
        <is>
          <t>Approved screen design; story reviewed with AI Admin; dependencies, API contract, role permissions and test data identified.</t>
        </is>
      </c>
      <c r="AC362" s="12" t="inlineStr">
        <is>
          <t>Code reviewed; unit, API, UI, RBAC and integration tests pass; accessibility and responsive states verified; audit evidence captured; product owner accepts in staging.</t>
        </is>
      </c>
      <c r="AD362" s="12" t="n"/>
    </row>
    <row r="363" ht="78" customHeight="1" s="43">
      <c r="A363" s="11" t="n">
        <v>3</v>
      </c>
      <c r="B363" s="11" t="n">
        <v>359</v>
      </c>
      <c r="C363" s="12" t="inlineStr">
        <is>
          <t>US-044-02</t>
        </is>
      </c>
      <c r="D363" s="12" t="inlineStr">
        <is>
          <t>Complete the primary AI Command Center workflow</t>
        </is>
      </c>
      <c r="E363" s="12" t="inlineStr">
        <is>
          <t>EPIC-23</t>
        </is>
      </c>
      <c r="F363" s="12" t="inlineStr">
        <is>
          <t>AI &amp; Automation</t>
        </is>
      </c>
      <c r="G363" s="12" t="inlineStr">
        <is>
          <t>AI Operations</t>
        </is>
      </c>
      <c r="H363" s="11" t="inlineStr">
        <is>
          <t>SCR-044</t>
        </is>
      </c>
      <c r="I363" s="12" t="inlineStr">
        <is>
          <t>AI Command Center</t>
        </is>
      </c>
      <c r="J363" s="12" t="inlineStr">
        <is>
          <t>Primary Workflow</t>
        </is>
      </c>
      <c r="K363" s="12" t="inlineStr">
        <is>
          <t>AI Admin</t>
        </is>
      </c>
      <c r="L363" s="12" t="inlineStr">
        <is>
          <t>As a AI Admin, I want to list, search, filter, view, create, edit, cancel/delete under policy, export in AI Command Center, so that the ai operations process is completed accurately without duplicate or inconsistent records.</t>
        </is>
      </c>
      <c r="M363" s="12" t="inlineStr">
        <is>
          <t>Enable ai &amp; automation users to manage ai operations through the AI Command Center workflow with real-time status, validations and traceability.</t>
        </is>
      </c>
      <c r="N363" s="12" t="inlineStr">
        <is>
          <t>View access confirmed; required masters and linked records exist; Integrations, Communications, PMS APIs services are available; approval limit is valid.</t>
        </is>
      </c>
      <c r="O36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ai command center workflow; invalid or conflicting actions are blocked with clear messages; saved changes appear in related screens; sensitive changes are auditable.</t>
        </is>
      </c>
      <c r="P363" s="12" t="inlineStr">
        <is>
          <t>Duplicate submission is idempotent; stale data returns a refresh/conflict message; invalid status transitions are blocked; partial failure rolls back without orphan records.</t>
        </is>
      </c>
      <c r="Q363" s="12" t="inlineStr">
        <is>
          <t>Tenant/property scope; required fields; optimistic locking; timezone-safe dates; reason mandatory for overrides; least privilege; secret masking; versioning; change approval</t>
        </is>
      </c>
      <c r="R363" s="12" t="inlineStr">
        <is>
          <t>Integrations, Communications, PMS APIs</t>
        </is>
      </c>
      <c r="S363" s="12" t="inlineStr">
        <is>
          <t>GET, POST, PUT/PATCH, DELETE /api/v1/ai-command-center; lookup, validation and audit endpoints; idempotency for financial/booking writes; entities: ai_agents, prompts, knowledge_documents, tool_policies, call_transcripts</t>
        </is>
      </c>
      <c r="T363" s="12" t="inlineStr">
        <is>
          <t>Could Have</t>
        </is>
      </c>
      <c r="U363" s="12" t="inlineStr">
        <is>
          <t>Release 1.2</t>
        </is>
      </c>
      <c r="V363" s="34" t="n">
        <v>8</v>
      </c>
      <c r="W363" s="12" t="inlineStr">
        <is>
          <t>S23-S25</t>
        </is>
      </c>
      <c r="X363" s="12" t="inlineStr">
        <is>
          <t>Backlog</t>
        </is>
      </c>
      <c r="Y363" s="13">
        <f>IF(X363="Done",1,IF(X363="QA",0.9,IF(X363="Code Review",0.75,IF(X363="In Development",0.5,IF(X363="Ready",0.1,0)))))</f>
        <v/>
      </c>
      <c r="Z363" s="12" t="n"/>
      <c r="AA363" s="12" t="inlineStr">
        <is>
          <t>TC-044-B</t>
        </is>
      </c>
      <c r="AB363" s="12" t="inlineStr">
        <is>
          <t>Approved screen design; story reviewed with AI Admin; dependencies, API contract, role permissions and test data identified.</t>
        </is>
      </c>
      <c r="AC363" s="12" t="inlineStr">
        <is>
          <t>Code reviewed; unit, API, UI, RBAC and integration tests pass; accessibility and responsive states verified; audit evidence captured; product owner accepts in staging.</t>
        </is>
      </c>
      <c r="AD363" s="12" t="n"/>
    </row>
    <row r="364" ht="78" customHeight="1" s="43">
      <c r="A364" s="11" t="n">
        <v>3</v>
      </c>
      <c r="B364" s="11" t="n">
        <v>360</v>
      </c>
      <c r="C364" s="12" t="inlineStr">
        <is>
          <t>US-044-03</t>
        </is>
      </c>
      <c r="D364" s="12" t="inlineStr">
        <is>
          <t>Control permissions, overrides and audit for AI Command Center</t>
        </is>
      </c>
      <c r="E364" s="12" t="inlineStr">
        <is>
          <t>EPIC-23</t>
        </is>
      </c>
      <c r="F364" s="12" t="inlineStr">
        <is>
          <t>AI &amp; Automation</t>
        </is>
      </c>
      <c r="G364" s="12" t="inlineStr">
        <is>
          <t>AI Operations</t>
        </is>
      </c>
      <c r="H364" s="11" t="inlineStr">
        <is>
          <t>SCR-044</t>
        </is>
      </c>
      <c r="I364" s="12" t="inlineStr">
        <is>
          <t>AI Command Center</t>
        </is>
      </c>
      <c r="J364" s="12" t="inlineStr">
        <is>
          <t>Security / Exceptions</t>
        </is>
      </c>
      <c r="K364" s="12" t="inlineStr">
        <is>
          <t>AI Admin</t>
        </is>
      </c>
      <c r="L364" s="12" t="inlineStr">
        <is>
          <t>As a department supervisor or auditor, I want sensitive actions in AI Command Center to follow permissions, approval limits and audit rules, so that resort operations remain secure, compliant and traceable.</t>
        </is>
      </c>
      <c r="M364" s="12" t="inlineStr">
        <is>
          <t>Reduces fraud, privacy leakage, unauthorized overrides and unresolved operational disputes.</t>
        </is>
      </c>
      <c r="N364" s="12" t="inlineStr">
        <is>
          <t>Roles, permissions, approval hierarchy and audit service are configured; allowed and denied test users exist.</t>
        </is>
      </c>
      <c r="O36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64" s="12" t="inlineStr">
        <is>
          <t>Tampered IDs, expired sessions, approval-limit violations and cross-tenant requests are rejected; secrets and sensitive guest/payment fields are never written to logs.</t>
        </is>
      </c>
      <c r="Q364" s="12" t="inlineStr">
        <is>
          <t>Tenant/property scope; required fields; optimistic locking; timezone-safe dates; reason mandatory for overrides; least privilege; secret masking; versioning; change approval</t>
        </is>
      </c>
      <c r="R364" s="12" t="inlineStr">
        <is>
          <t>Integrations, Communications, PMS APIs</t>
        </is>
      </c>
      <c r="S364" s="12" t="inlineStr">
        <is>
          <t>GET, POST, PUT/PATCH, DELETE /api/v1/ai-command-center; lookup, validation and audit endpoints; idempotency for financial/booking writes; entities: ai_agents, prompts, knowledge_documents, tool_policies, call_transcripts</t>
        </is>
      </c>
      <c r="T364" s="12" t="inlineStr">
        <is>
          <t>Could Have</t>
        </is>
      </c>
      <c r="U364" s="12" t="inlineStr">
        <is>
          <t>Release 1.2</t>
        </is>
      </c>
      <c r="V364" s="34" t="n">
        <v>5</v>
      </c>
      <c r="W364" s="12" t="inlineStr">
        <is>
          <t>S23-S25</t>
        </is>
      </c>
      <c r="X364" s="12" t="inlineStr">
        <is>
          <t>Backlog</t>
        </is>
      </c>
      <c r="Y364" s="13">
        <f>IF(X364="Done",1,IF(X364="QA",0.9,IF(X364="Code Review",0.75,IF(X364="In Development",0.5,IF(X364="Ready",0.1,0)))))</f>
        <v/>
      </c>
      <c r="Z364" s="12" t="n"/>
      <c r="AA364" s="12" t="inlineStr">
        <is>
          <t>TC-044-C</t>
        </is>
      </c>
      <c r="AB364" s="12" t="inlineStr">
        <is>
          <t>Approved screen design; story reviewed with AI Admin; dependencies, API contract, role permissions and test data identified.</t>
        </is>
      </c>
      <c r="AC364" s="12" t="inlineStr">
        <is>
          <t>Code reviewed; unit, API, UI, RBAC and integration tests pass; accessibility and responsive states verified; audit evidence captured; product owner accepts in staging.</t>
        </is>
      </c>
      <c r="AD364" s="12" t="n"/>
    </row>
    <row r="365" ht="78" customHeight="1" s="43">
      <c r="A365" s="11" t="n">
        <v>3</v>
      </c>
      <c r="B365" s="11" t="n">
        <v>361</v>
      </c>
      <c r="C365" s="12" t="inlineStr">
        <is>
          <t>US-045-01</t>
        </is>
      </c>
      <c r="D365" s="12" t="inlineStr">
        <is>
          <t>View and find information in Voice Agent Configuration</t>
        </is>
      </c>
      <c r="E365" s="12" t="inlineStr">
        <is>
          <t>EPIC-23</t>
        </is>
      </c>
      <c r="F365" s="12" t="inlineStr">
        <is>
          <t>AI &amp; Automation</t>
        </is>
      </c>
      <c r="G365" s="12" t="inlineStr">
        <is>
          <t>Voice Agent</t>
        </is>
      </c>
      <c r="H365" s="11" t="inlineStr">
        <is>
          <t>SCR-045</t>
        </is>
      </c>
      <c r="I365" s="12" t="inlineStr">
        <is>
          <t>Voice Agent Configuration</t>
        </is>
      </c>
      <c r="J365" s="12" t="inlineStr">
        <is>
          <t>View / Search</t>
        </is>
      </c>
      <c r="K365" s="12" t="inlineStr">
        <is>
          <t>AI Admin</t>
        </is>
      </c>
      <c r="L365" s="12" t="inlineStr">
        <is>
          <t>As a AI Admin, I want to open Voice Agent Configuration and find relevant records using search, filters and sorting, so that I can make accurate operational decisions.</t>
        </is>
      </c>
      <c r="M365" s="12" t="inlineStr">
        <is>
          <t>Provides timely visibility for voice agent and reduces manual lookup effort.</t>
        </is>
      </c>
      <c r="N365" s="12" t="inlineStr">
        <is>
          <t>Authenticated user; active property; view permission for AI &amp; Automation; Integrations, Communications, PMS APIs data available.</t>
        </is>
      </c>
      <c r="O365" s="12" t="inlineStr">
        <is>
          <t>Given I am authenticated as AI Admin with access to the selected property, when I open Voice Agent Configuration,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65" s="12" t="inlineStr">
        <is>
          <t>Cross-property data never appears; unauthorized fields are masked; invalid filters do not break the screen; unavailable services return a controlled message.</t>
        </is>
      </c>
      <c r="Q365" s="12" t="inlineStr">
        <is>
          <t>Tenant/property scope; required fields; optimistic locking; timezone-safe dates; reason mandatory for overrides; least privilege; secret masking; versioning; change approval</t>
        </is>
      </c>
      <c r="R365" s="12" t="inlineStr">
        <is>
          <t>Integrations, Communications, PMS APIs</t>
        </is>
      </c>
      <c r="S365" s="12" t="inlineStr">
        <is>
          <t>GET, POST, PUT/PATCH, DELETE /api/v1/voice-agent-configuration; lookup, validation and audit endpoints; idempotency for financial/booking writes; entities: ai_agents, prompts, knowledge_documents, tool_policies, call_transcripts</t>
        </is>
      </c>
      <c r="T365" s="12" t="inlineStr">
        <is>
          <t>Could Have</t>
        </is>
      </c>
      <c r="U365" s="12" t="inlineStr">
        <is>
          <t>Release 1.2</t>
        </is>
      </c>
      <c r="V365" s="34" t="n">
        <v>3</v>
      </c>
      <c r="W365" s="12" t="inlineStr">
        <is>
          <t>S23-S25</t>
        </is>
      </c>
      <c r="X365" s="12" t="inlineStr">
        <is>
          <t>Backlog</t>
        </is>
      </c>
      <c r="Y365" s="13">
        <f>IF(X365="Done",1,IF(X365="QA",0.9,IF(X365="Code Review",0.75,IF(X365="In Development",0.5,IF(X365="Ready",0.1,0)))))</f>
        <v/>
      </c>
      <c r="Z365" s="12" t="n"/>
      <c r="AA365" s="12" t="inlineStr">
        <is>
          <t>TC-045-A</t>
        </is>
      </c>
      <c r="AB365" s="12" t="inlineStr">
        <is>
          <t>Approved screen design; story reviewed with AI Admin; dependencies, API contract, role permissions and test data identified.</t>
        </is>
      </c>
      <c r="AC365" s="12" t="inlineStr">
        <is>
          <t>Code reviewed; unit, API, UI, RBAC and integration tests pass; accessibility and responsive states verified; audit evidence captured; product owner accepts in staging.</t>
        </is>
      </c>
      <c r="AD365" s="12" t="n"/>
    </row>
    <row r="366" ht="78" customHeight="1" s="43">
      <c r="A366" s="11" t="n">
        <v>3</v>
      </c>
      <c r="B366" s="11" t="n">
        <v>362</v>
      </c>
      <c r="C366" s="12" t="inlineStr">
        <is>
          <t>US-045-02</t>
        </is>
      </c>
      <c r="D366" s="12" t="inlineStr">
        <is>
          <t>Complete the primary Voice Agent Configuration workflow</t>
        </is>
      </c>
      <c r="E366" s="12" t="inlineStr">
        <is>
          <t>EPIC-23</t>
        </is>
      </c>
      <c r="F366" s="12" t="inlineStr">
        <is>
          <t>AI &amp; Automation</t>
        </is>
      </c>
      <c r="G366" s="12" t="inlineStr">
        <is>
          <t>Voice Agent</t>
        </is>
      </c>
      <c r="H366" s="11" t="inlineStr">
        <is>
          <t>SCR-045</t>
        </is>
      </c>
      <c r="I366" s="12" t="inlineStr">
        <is>
          <t>Voice Agent Configuration</t>
        </is>
      </c>
      <c r="J366" s="12" t="inlineStr">
        <is>
          <t>Primary Workflow</t>
        </is>
      </c>
      <c r="K366" s="12" t="inlineStr">
        <is>
          <t>AI Admin</t>
        </is>
      </c>
      <c r="L366" s="12" t="inlineStr">
        <is>
          <t>As a AI Admin, I want to list, view, create, edit, activate/deactivate, delete where safe in Voice Agent Configuration, so that the voice agent process is completed accurately without duplicate or inconsistent records.</t>
        </is>
      </c>
      <c r="M366" s="12" t="inlineStr">
        <is>
          <t>Enable ai &amp; automation users to manage voice agent through the Voice Agent Configuration workflow with real-time status, validations and traceability.</t>
        </is>
      </c>
      <c r="N366" s="12" t="inlineStr">
        <is>
          <t>View access confirmed; required masters and linked records exist; Integrations, Communications, PMS APIs services are available; approval limit is valid.</t>
        </is>
      </c>
      <c r="O36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voice agent configuration workflow; invalid or conflicting actions are blocked with clear messages; saved changes appear in related screens; sensitive changes are auditable.</t>
        </is>
      </c>
      <c r="P366" s="12" t="inlineStr">
        <is>
          <t>Duplicate submission is idempotent; stale data returns a refresh/conflict message; invalid status transitions are blocked; partial failure rolls back without orphan records.</t>
        </is>
      </c>
      <c r="Q366" s="12" t="inlineStr">
        <is>
          <t>Tenant/property scope; required fields; optimistic locking; timezone-safe dates; reason mandatory for overrides; least privilege; secret masking; versioning; change approval</t>
        </is>
      </c>
      <c r="R366" s="12" t="inlineStr">
        <is>
          <t>Integrations, Communications, PMS APIs</t>
        </is>
      </c>
      <c r="S366" s="12" t="inlineStr">
        <is>
          <t>GET, POST, PUT/PATCH, DELETE /api/v1/voice-agent-configuration; lookup, validation and audit endpoints; idempotency for financial/booking writes; entities: ai_agents, prompts, knowledge_documents, tool_policies, call_transcripts</t>
        </is>
      </c>
      <c r="T366" s="12" t="inlineStr">
        <is>
          <t>Could Have</t>
        </is>
      </c>
      <c r="U366" s="12" t="inlineStr">
        <is>
          <t>Release 1.2</t>
        </is>
      </c>
      <c r="V366" s="34" t="n">
        <v>8</v>
      </c>
      <c r="W366" s="12" t="inlineStr">
        <is>
          <t>S23-S25</t>
        </is>
      </c>
      <c r="X366" s="12" t="inlineStr">
        <is>
          <t>Backlog</t>
        </is>
      </c>
      <c r="Y366" s="13">
        <f>IF(X366="Done",1,IF(X366="QA",0.9,IF(X366="Code Review",0.75,IF(X366="In Development",0.5,IF(X366="Ready",0.1,0)))))</f>
        <v/>
      </c>
      <c r="Z366" s="12" t="n"/>
      <c r="AA366" s="12" t="inlineStr">
        <is>
          <t>TC-045-B</t>
        </is>
      </c>
      <c r="AB366" s="12" t="inlineStr">
        <is>
          <t>Approved screen design; story reviewed with AI Admin; dependencies, API contract, role permissions and test data identified.</t>
        </is>
      </c>
      <c r="AC366" s="12" t="inlineStr">
        <is>
          <t>Code reviewed; unit, API, UI, RBAC and integration tests pass; accessibility and responsive states verified; audit evidence captured; product owner accepts in staging.</t>
        </is>
      </c>
      <c r="AD366" s="12" t="n"/>
    </row>
    <row r="367" ht="78" customHeight="1" s="43">
      <c r="A367" s="11" t="n">
        <v>3</v>
      </c>
      <c r="B367" s="11" t="n">
        <v>363</v>
      </c>
      <c r="C367" s="12" t="inlineStr">
        <is>
          <t>US-045-03</t>
        </is>
      </c>
      <c r="D367" s="12" t="inlineStr">
        <is>
          <t>Control permissions, overrides and audit for Voice Agent Configuration</t>
        </is>
      </c>
      <c r="E367" s="12" t="inlineStr">
        <is>
          <t>EPIC-23</t>
        </is>
      </c>
      <c r="F367" s="12" t="inlineStr">
        <is>
          <t>AI &amp; Automation</t>
        </is>
      </c>
      <c r="G367" s="12" t="inlineStr">
        <is>
          <t>Voice Agent</t>
        </is>
      </c>
      <c r="H367" s="11" t="inlineStr">
        <is>
          <t>SCR-045</t>
        </is>
      </c>
      <c r="I367" s="12" t="inlineStr">
        <is>
          <t>Voice Agent Configuration</t>
        </is>
      </c>
      <c r="J367" s="12" t="inlineStr">
        <is>
          <t>Security / Exceptions</t>
        </is>
      </c>
      <c r="K367" s="12" t="inlineStr">
        <is>
          <t>AI Admin</t>
        </is>
      </c>
      <c r="L367" s="12" t="inlineStr">
        <is>
          <t>As a department supervisor or auditor, I want sensitive actions in Voice Agent Configuration to follow permissions, approval limits and audit rules, so that resort operations remain secure, compliant and traceable.</t>
        </is>
      </c>
      <c r="M367" s="12" t="inlineStr">
        <is>
          <t>Reduces fraud, privacy leakage, unauthorized overrides and unresolved operational disputes.</t>
        </is>
      </c>
      <c r="N367" s="12" t="inlineStr">
        <is>
          <t>Roles, permissions, approval hierarchy and audit service are configured; allowed and denied test users exist.</t>
        </is>
      </c>
      <c r="O36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67" s="12" t="inlineStr">
        <is>
          <t>Tampered IDs, expired sessions, approval-limit violations and cross-tenant requests are rejected; secrets and sensitive guest/payment fields are never written to logs.</t>
        </is>
      </c>
      <c r="Q367" s="12" t="inlineStr">
        <is>
          <t>Tenant/property scope; required fields; optimistic locking; timezone-safe dates; reason mandatory for overrides; least privilege; secret masking; versioning; change approval</t>
        </is>
      </c>
      <c r="R367" s="12" t="inlineStr">
        <is>
          <t>Integrations, Communications, PMS APIs</t>
        </is>
      </c>
      <c r="S367" s="12" t="inlineStr">
        <is>
          <t>GET, POST, PUT/PATCH, DELETE /api/v1/voice-agent-configuration; lookup, validation and audit endpoints; idempotency for financial/booking writes; entities: ai_agents, prompts, knowledge_documents, tool_policies, call_transcripts</t>
        </is>
      </c>
      <c r="T367" s="12" t="inlineStr">
        <is>
          <t>Could Have</t>
        </is>
      </c>
      <c r="U367" s="12" t="inlineStr">
        <is>
          <t>Release 1.2</t>
        </is>
      </c>
      <c r="V367" s="34" t="n">
        <v>5</v>
      </c>
      <c r="W367" s="12" t="inlineStr">
        <is>
          <t>S23-S25</t>
        </is>
      </c>
      <c r="X367" s="12" t="inlineStr">
        <is>
          <t>Backlog</t>
        </is>
      </c>
      <c r="Y367" s="13">
        <f>IF(X367="Done",1,IF(X367="QA",0.9,IF(X367="Code Review",0.75,IF(X367="In Development",0.5,IF(X367="Ready",0.1,0)))))</f>
        <v/>
      </c>
      <c r="Z367" s="12" t="n"/>
      <c r="AA367" s="12" t="inlineStr">
        <is>
          <t>TC-045-C</t>
        </is>
      </c>
      <c r="AB367" s="12" t="inlineStr">
        <is>
          <t>Approved screen design; story reviewed with AI Admin; dependencies, API contract, role permissions and test data identified.</t>
        </is>
      </c>
      <c r="AC367" s="12" t="inlineStr">
        <is>
          <t>Code reviewed; unit, API, UI, RBAC and integration tests pass; accessibility and responsive states verified; audit evidence captured; product owner accepts in staging.</t>
        </is>
      </c>
      <c r="AD367" s="12" t="n"/>
    </row>
    <row r="368" ht="78" customHeight="1" s="43">
      <c r="A368" s="11" t="n">
        <v>3</v>
      </c>
      <c r="B368" s="11" t="n">
        <v>364</v>
      </c>
      <c r="C368" s="12" t="inlineStr">
        <is>
          <t>US-046-01</t>
        </is>
      </c>
      <c r="D368" s="12" t="inlineStr">
        <is>
          <t>View and find information in AI Knowledge Base and Tool Policies</t>
        </is>
      </c>
      <c r="E368" s="12" t="inlineStr">
        <is>
          <t>EPIC-23</t>
        </is>
      </c>
      <c r="F368" s="12" t="inlineStr">
        <is>
          <t>AI &amp; Automation</t>
        </is>
      </c>
      <c r="G368" s="12" t="inlineStr">
        <is>
          <t>Knowledge &amp; Policies</t>
        </is>
      </c>
      <c r="H368" s="11" t="inlineStr">
        <is>
          <t>SCR-046</t>
        </is>
      </c>
      <c r="I368" s="12" t="inlineStr">
        <is>
          <t>AI Knowledge Base and Tool Policies</t>
        </is>
      </c>
      <c r="J368" s="12" t="inlineStr">
        <is>
          <t>View / Search</t>
        </is>
      </c>
      <c r="K368" s="12" t="inlineStr">
        <is>
          <t>AI Admin</t>
        </is>
      </c>
      <c r="L368" s="12" t="inlineStr">
        <is>
          <t>As a AI Admin, I want to open AI Knowledge Base and Tool Policies and find relevant records using search, filters and sorting, so that I can make accurate operational decisions.</t>
        </is>
      </c>
      <c r="M368" s="12" t="inlineStr">
        <is>
          <t>Provides timely visibility for knowledge &amp; policies and reduces manual lookup effort.</t>
        </is>
      </c>
      <c r="N368" s="12" t="inlineStr">
        <is>
          <t>Authenticated user; active property; view permission for AI &amp; Automation; Integrations, Communications, PMS APIs data available.</t>
        </is>
      </c>
      <c r="O368" s="12" t="inlineStr">
        <is>
          <t>Given I am authenticated as AI Admin with access to the selected property, when I open AI Knowledge Base and Tool Policies,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68" s="12" t="inlineStr">
        <is>
          <t>Cross-property data never appears; unauthorized fields are masked; invalid filters do not break the screen; unavailable services return a controlled message.</t>
        </is>
      </c>
      <c r="Q368" s="12" t="inlineStr">
        <is>
          <t>Tenant/property scope; required fields; optimistic locking; timezone-safe dates; reason mandatory for overrides; least privilege; secret masking; versioning; change approval</t>
        </is>
      </c>
      <c r="R368" s="12" t="inlineStr">
        <is>
          <t>Integrations, Communications, PMS APIs</t>
        </is>
      </c>
      <c r="S368" s="12" t="inlineStr">
        <is>
          <t>GET, POST, PUT/PATCH, DELETE /api/v1/ai-knowledge-base-and-tool-policies; lookup, validation and audit endpoints; idempotency for financial/booking writes; entities: ai_agents, prompts, knowledge_documents, tool_policies, call_transcripts</t>
        </is>
      </c>
      <c r="T368" s="12" t="inlineStr">
        <is>
          <t>Could Have</t>
        </is>
      </c>
      <c r="U368" s="12" t="inlineStr">
        <is>
          <t>Release 1.2</t>
        </is>
      </c>
      <c r="V368" s="34" t="n">
        <v>3</v>
      </c>
      <c r="W368" s="12" t="inlineStr">
        <is>
          <t>S23-S25</t>
        </is>
      </c>
      <c r="X368" s="12" t="inlineStr">
        <is>
          <t>Backlog</t>
        </is>
      </c>
      <c r="Y368" s="13">
        <f>IF(X368="Done",1,IF(X368="QA",0.9,IF(X368="Code Review",0.75,IF(X368="In Development",0.5,IF(X368="Ready",0.1,0)))))</f>
        <v/>
      </c>
      <c r="Z368" s="12" t="n"/>
      <c r="AA368" s="12" t="inlineStr">
        <is>
          <t>TC-046-A</t>
        </is>
      </c>
      <c r="AB368" s="12" t="inlineStr">
        <is>
          <t>Approved screen design; story reviewed with AI Admin; dependencies, API contract, role permissions and test data identified.</t>
        </is>
      </c>
      <c r="AC368" s="12" t="inlineStr">
        <is>
          <t>Code reviewed; unit, API, UI, RBAC and integration tests pass; accessibility and responsive states verified; audit evidence captured; product owner accepts in staging.</t>
        </is>
      </c>
      <c r="AD368" s="12" t="n"/>
    </row>
    <row r="369" ht="78" customHeight="1" s="43">
      <c r="A369" s="11" t="n">
        <v>3</v>
      </c>
      <c r="B369" s="11" t="n">
        <v>365</v>
      </c>
      <c r="C369" s="12" t="inlineStr">
        <is>
          <t>US-046-02</t>
        </is>
      </c>
      <c r="D369" s="12" t="inlineStr">
        <is>
          <t>Complete the primary AI Knowledge Base and Tool Policies workflow</t>
        </is>
      </c>
      <c r="E369" s="12" t="inlineStr">
        <is>
          <t>EPIC-23</t>
        </is>
      </c>
      <c r="F369" s="12" t="inlineStr">
        <is>
          <t>AI &amp; Automation</t>
        </is>
      </c>
      <c r="G369" s="12" t="inlineStr">
        <is>
          <t>Knowledge &amp; Policies</t>
        </is>
      </c>
      <c r="H369" s="11" t="inlineStr">
        <is>
          <t>SCR-046</t>
        </is>
      </c>
      <c r="I369" s="12" t="inlineStr">
        <is>
          <t>AI Knowledge Base and Tool Policies</t>
        </is>
      </c>
      <c r="J369" s="12" t="inlineStr">
        <is>
          <t>Primary Workflow</t>
        </is>
      </c>
      <c r="K369" s="12" t="inlineStr">
        <is>
          <t>AI Admin</t>
        </is>
      </c>
      <c r="L369" s="12" t="inlineStr">
        <is>
          <t>As a AI Admin, I want to list, search, filter, view, create, edit, cancel/delete under policy, export in AI Knowledge Base and Tool Policies, so that the knowledge &amp; policies process is completed accurately without duplicate or inconsistent records.</t>
        </is>
      </c>
      <c r="M369" s="12" t="inlineStr">
        <is>
          <t>Enable ai &amp; automation users to manage knowledge &amp; policies through the AI Knowledge Base and Tool Policies workflow with real-time status, validations and traceability.</t>
        </is>
      </c>
      <c r="N369" s="12" t="inlineStr">
        <is>
          <t>View access confirmed; required masters and linked records exist; Integrations, Communications, PMS APIs services are available; approval limit is valid.</t>
        </is>
      </c>
      <c r="O36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ai knowledge base and tool policies workflow; invalid or conflicting actions are blocked with clear messages; saved changes appear in related screens; sensitive changes are auditable.</t>
        </is>
      </c>
      <c r="P369" s="12" t="inlineStr">
        <is>
          <t>Duplicate submission is idempotent; stale data returns a refresh/conflict message; invalid status transitions are blocked; partial failure rolls back without orphan records.</t>
        </is>
      </c>
      <c r="Q369" s="12" t="inlineStr">
        <is>
          <t>Tenant/property scope; required fields; optimistic locking; timezone-safe dates; reason mandatory for overrides; least privilege; secret masking; versioning; change approval</t>
        </is>
      </c>
      <c r="R369" s="12" t="inlineStr">
        <is>
          <t>Integrations, Communications, PMS APIs</t>
        </is>
      </c>
      <c r="S369" s="12" t="inlineStr">
        <is>
          <t>GET, POST, PUT/PATCH, DELETE /api/v1/ai-knowledge-base-and-tool-policies; lookup, validation and audit endpoints; idempotency for financial/booking writes; entities: ai_agents, prompts, knowledge_documents, tool_policies, call_transcripts</t>
        </is>
      </c>
      <c r="T369" s="12" t="inlineStr">
        <is>
          <t>Could Have</t>
        </is>
      </c>
      <c r="U369" s="12" t="inlineStr">
        <is>
          <t>Release 1.2</t>
        </is>
      </c>
      <c r="V369" s="34" t="n">
        <v>8</v>
      </c>
      <c r="W369" s="12" t="inlineStr">
        <is>
          <t>S23-S25</t>
        </is>
      </c>
      <c r="X369" s="12" t="inlineStr">
        <is>
          <t>Backlog</t>
        </is>
      </c>
      <c r="Y369" s="13">
        <f>IF(X369="Done",1,IF(X369="QA",0.9,IF(X369="Code Review",0.75,IF(X369="In Development",0.5,IF(X369="Ready",0.1,0)))))</f>
        <v/>
      </c>
      <c r="Z369" s="12" t="n"/>
      <c r="AA369" s="12" t="inlineStr">
        <is>
          <t>TC-046-B</t>
        </is>
      </c>
      <c r="AB369" s="12" t="inlineStr">
        <is>
          <t>Approved screen design; story reviewed with AI Admin; dependencies, API contract, role permissions and test data identified.</t>
        </is>
      </c>
      <c r="AC369" s="12" t="inlineStr">
        <is>
          <t>Code reviewed; unit, API, UI, RBAC and integration tests pass; accessibility and responsive states verified; audit evidence captured; product owner accepts in staging.</t>
        </is>
      </c>
      <c r="AD369" s="12" t="n"/>
    </row>
    <row r="370" ht="78" customHeight="1" s="43">
      <c r="A370" s="11" t="n">
        <v>3</v>
      </c>
      <c r="B370" s="11" t="n">
        <v>366</v>
      </c>
      <c r="C370" s="12" t="inlineStr">
        <is>
          <t>US-046-03</t>
        </is>
      </c>
      <c r="D370" s="12" t="inlineStr">
        <is>
          <t>Control permissions, overrides and audit for AI Knowledge Base and Tool Policies</t>
        </is>
      </c>
      <c r="E370" s="12" t="inlineStr">
        <is>
          <t>EPIC-23</t>
        </is>
      </c>
      <c r="F370" s="12" t="inlineStr">
        <is>
          <t>AI &amp; Automation</t>
        </is>
      </c>
      <c r="G370" s="12" t="inlineStr">
        <is>
          <t>Knowledge &amp; Policies</t>
        </is>
      </c>
      <c r="H370" s="11" t="inlineStr">
        <is>
          <t>SCR-046</t>
        </is>
      </c>
      <c r="I370" s="12" t="inlineStr">
        <is>
          <t>AI Knowledge Base and Tool Policies</t>
        </is>
      </c>
      <c r="J370" s="12" t="inlineStr">
        <is>
          <t>Security / Exceptions</t>
        </is>
      </c>
      <c r="K370" s="12" t="inlineStr">
        <is>
          <t>AI Admin</t>
        </is>
      </c>
      <c r="L370" s="12" t="inlineStr">
        <is>
          <t>As a department supervisor or auditor, I want sensitive actions in AI Knowledge Base and Tool Policies to follow permissions, approval limits and audit rules, so that resort operations remain secure, compliant and traceable.</t>
        </is>
      </c>
      <c r="M370" s="12" t="inlineStr">
        <is>
          <t>Reduces fraud, privacy leakage, unauthorized overrides and unresolved operational disputes.</t>
        </is>
      </c>
      <c r="N370" s="12" t="inlineStr">
        <is>
          <t>Roles, permissions, approval hierarchy and audit service are configured; allowed and denied test users exist.</t>
        </is>
      </c>
      <c r="O37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70" s="12" t="inlineStr">
        <is>
          <t>Tampered IDs, expired sessions, approval-limit violations and cross-tenant requests are rejected; secrets and sensitive guest/payment fields are never written to logs.</t>
        </is>
      </c>
      <c r="Q370" s="12" t="inlineStr">
        <is>
          <t>Tenant/property scope; required fields; optimistic locking; timezone-safe dates; reason mandatory for overrides; least privilege; secret masking; versioning; change approval</t>
        </is>
      </c>
      <c r="R370" s="12" t="inlineStr">
        <is>
          <t>Integrations, Communications, PMS APIs</t>
        </is>
      </c>
      <c r="S370" s="12" t="inlineStr">
        <is>
          <t>GET, POST, PUT/PATCH, DELETE /api/v1/ai-knowledge-base-and-tool-policies; lookup, validation and audit endpoints; idempotency for financial/booking writes; entities: ai_agents, prompts, knowledge_documents, tool_policies, call_transcripts</t>
        </is>
      </c>
      <c r="T370" s="12" t="inlineStr">
        <is>
          <t>Could Have</t>
        </is>
      </c>
      <c r="U370" s="12" t="inlineStr">
        <is>
          <t>Release 1.2</t>
        </is>
      </c>
      <c r="V370" s="34" t="n">
        <v>5</v>
      </c>
      <c r="W370" s="12" t="inlineStr">
        <is>
          <t>S23-S25</t>
        </is>
      </c>
      <c r="X370" s="12" t="inlineStr">
        <is>
          <t>Backlog</t>
        </is>
      </c>
      <c r="Y370" s="13">
        <f>IF(X370="Done",1,IF(X370="QA",0.9,IF(X370="Code Review",0.75,IF(X370="In Development",0.5,IF(X370="Ready",0.1,0)))))</f>
        <v/>
      </c>
      <c r="Z370" s="12" t="n"/>
      <c r="AA370" s="12" t="inlineStr">
        <is>
          <t>TC-046-C</t>
        </is>
      </c>
      <c r="AB370" s="12" t="inlineStr">
        <is>
          <t>Approved screen design; story reviewed with AI Admin; dependencies, API contract, role permissions and test data identified.</t>
        </is>
      </c>
      <c r="AC370" s="12" t="inlineStr">
        <is>
          <t>Code reviewed; unit, API, UI, RBAC and integration tests pass; accessibility and responsive states verified; audit evidence captured; product owner accepts in staging.</t>
        </is>
      </c>
      <c r="AD370" s="12" t="n"/>
    </row>
    <row r="371" ht="78" customHeight="1" s="43">
      <c r="A371" s="11" t="n">
        <v>3</v>
      </c>
      <c r="B371" s="11" t="n">
        <v>367</v>
      </c>
      <c r="C371" s="12" t="inlineStr">
        <is>
          <t>US-048-01</t>
        </is>
      </c>
      <c r="D371" s="12" t="inlineStr">
        <is>
          <t>View and find information in Guest Mobile Portal</t>
        </is>
      </c>
      <c r="E371" s="12" t="inlineStr">
        <is>
          <t>EPIC-25</t>
        </is>
      </c>
      <c r="F371" s="12" t="inlineStr">
        <is>
          <t>Guest Portal</t>
        </is>
      </c>
      <c r="G371" s="12" t="inlineStr">
        <is>
          <t>Mobile Self-Service</t>
        </is>
      </c>
      <c r="H371" s="11" t="inlineStr">
        <is>
          <t>SCR-048</t>
        </is>
      </c>
      <c r="I371" s="12" t="inlineStr">
        <is>
          <t>Guest Mobile Portal</t>
        </is>
      </c>
      <c r="J371" s="12" t="inlineStr">
        <is>
          <t>View / Search</t>
        </is>
      </c>
      <c r="K371" s="12" t="inlineStr">
        <is>
          <t>Guest</t>
        </is>
      </c>
      <c r="L371" s="12" t="inlineStr">
        <is>
          <t>As a Guest, I want to open Guest Mobile Portal and find relevant records using search, filters and sorting, so that I can make accurate operational decisions.</t>
        </is>
      </c>
      <c r="M371" s="12" t="inlineStr">
        <is>
          <t>Provides timely visibility for mobile self-service and reduces manual lookup effort.</t>
        </is>
      </c>
      <c r="N371" s="12" t="inlineStr">
        <is>
          <t>Authenticated user; active property; view permission for Guest Portal; Guests, Reservations, Payments data available.</t>
        </is>
      </c>
      <c r="O371" s="12" t="inlineStr">
        <is>
          <t>Given I am authenticated as Guest with access to the selected property, when I open Guest Mobile Portal,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71" s="12" t="inlineStr">
        <is>
          <t>Cross-property data never appears; unauthorized fields are masked; invalid filters do not break the screen; unavailable services return a controlled message.</t>
        </is>
      </c>
      <c r="Q371" s="12" t="inlineStr">
        <is>
          <t>Tenant/property scope; required fields; optimistic locking; timezone-safe dates; reason mandatory for overrides; valid status transition; linked-record integrity</t>
        </is>
      </c>
      <c r="R371" s="12" t="inlineStr">
        <is>
          <t>Guests, Reservations, Payments</t>
        </is>
      </c>
      <c r="S371" s="12" t="inlineStr">
        <is>
          <t>GET, POST, PUT/PATCH, DELETE /api/v1/guest-mobile-portal; lookup, validation and audit endpoints; idempotency for financial/booking writes; entities: portal_sessions, self_checkin_submissions, guest_requests</t>
        </is>
      </c>
      <c r="T371" s="12" t="inlineStr">
        <is>
          <t>Could Have</t>
        </is>
      </c>
      <c r="U371" s="12" t="inlineStr">
        <is>
          <t>Release 1.2</t>
        </is>
      </c>
      <c r="V371" s="34" t="n">
        <v>3</v>
      </c>
      <c r="W371" s="12" t="inlineStr">
        <is>
          <t>S23-S25</t>
        </is>
      </c>
      <c r="X371" s="12" t="inlineStr">
        <is>
          <t>Backlog</t>
        </is>
      </c>
      <c r="Y371" s="13">
        <f>IF(X371="Done",1,IF(X371="QA",0.9,IF(X371="Code Review",0.75,IF(X371="In Development",0.5,IF(X371="Ready",0.1,0)))))</f>
        <v/>
      </c>
      <c r="Z371" s="12" t="n"/>
      <c r="AA371" s="12" t="inlineStr">
        <is>
          <t>TC-048-A</t>
        </is>
      </c>
      <c r="AB371" s="12" t="inlineStr">
        <is>
          <t>Approved screen design; story reviewed with Guest; dependencies, API contract, role permissions and test data identified.</t>
        </is>
      </c>
      <c r="AC371" s="12" t="inlineStr">
        <is>
          <t>Code reviewed; unit, API, UI, RBAC and integration tests pass; accessibility and responsive states verified; audit evidence captured; product owner accepts in staging.</t>
        </is>
      </c>
      <c r="AD371" s="12" t="n"/>
    </row>
    <row r="372" ht="78" customHeight="1" s="43">
      <c r="A372" s="11" t="n">
        <v>3</v>
      </c>
      <c r="B372" s="11" t="n">
        <v>368</v>
      </c>
      <c r="C372" s="12" t="inlineStr">
        <is>
          <t>US-048-02</t>
        </is>
      </c>
      <c r="D372" s="12" t="inlineStr">
        <is>
          <t>Complete the primary Guest Mobile Portal workflow</t>
        </is>
      </c>
      <c r="E372" s="12" t="inlineStr">
        <is>
          <t>EPIC-25</t>
        </is>
      </c>
      <c r="F372" s="12" t="inlineStr">
        <is>
          <t>Guest Portal</t>
        </is>
      </c>
      <c r="G372" s="12" t="inlineStr">
        <is>
          <t>Mobile Self-Service</t>
        </is>
      </c>
      <c r="H372" s="11" t="inlineStr">
        <is>
          <t>SCR-048</t>
        </is>
      </c>
      <c r="I372" s="12" t="inlineStr">
        <is>
          <t>Guest Mobile Portal</t>
        </is>
      </c>
      <c r="J372" s="12" t="inlineStr">
        <is>
          <t>Primary Workflow</t>
        </is>
      </c>
      <c r="K372" s="12" t="inlineStr">
        <is>
          <t>Guest</t>
        </is>
      </c>
      <c r="L372" s="12" t="inlineStr">
        <is>
          <t>As a Guest, I want to list, search, filter, view, create, edit, cancel/delete under policy, export in Guest Mobile Portal, so that the mobile self-service process is completed accurately without duplicate or inconsistent records.</t>
        </is>
      </c>
      <c r="M372" s="12" t="inlineStr">
        <is>
          <t>Enable guest portal users to manage mobile self-service through the Guest Mobile Portal workflow with real-time status, validations and traceability.</t>
        </is>
      </c>
      <c r="N372" s="12" t="inlineStr">
        <is>
          <t>View access confirmed; required masters and linked records exist; Guests, Reservations, Payments services are available; approval limit is valid.</t>
        </is>
      </c>
      <c r="O37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mobile portal workflow; invalid or conflicting actions are blocked with clear messages; saved changes appear in related screens; sensitive changes are auditable.</t>
        </is>
      </c>
      <c r="P372" s="12" t="inlineStr">
        <is>
          <t>Duplicate submission is idempotent; stale data returns a refresh/conflict message; invalid status transitions are blocked; partial failure rolls back without orphan records.</t>
        </is>
      </c>
      <c r="Q372" s="12" t="inlineStr">
        <is>
          <t>Tenant/property scope; required fields; optimistic locking; timezone-safe dates; reason mandatory for overrides; valid status transition; linked-record integrity</t>
        </is>
      </c>
      <c r="R372" s="12" t="inlineStr">
        <is>
          <t>Guests, Reservations, Payments</t>
        </is>
      </c>
      <c r="S372" s="12" t="inlineStr">
        <is>
          <t>GET, POST, PUT/PATCH, DELETE /api/v1/guest-mobile-portal; lookup, validation and audit endpoints; idempotency for financial/booking writes; entities: portal_sessions, self_checkin_submissions, guest_requests</t>
        </is>
      </c>
      <c r="T372" s="12" t="inlineStr">
        <is>
          <t>Could Have</t>
        </is>
      </c>
      <c r="U372" s="12" t="inlineStr">
        <is>
          <t>Release 1.2</t>
        </is>
      </c>
      <c r="V372" s="34" t="n">
        <v>5</v>
      </c>
      <c r="W372" s="12" t="inlineStr">
        <is>
          <t>S23-S25</t>
        </is>
      </c>
      <c r="X372" s="12" t="inlineStr">
        <is>
          <t>Backlog</t>
        </is>
      </c>
      <c r="Y372" s="13">
        <f>IF(X372="Done",1,IF(X372="QA",0.9,IF(X372="Code Review",0.75,IF(X372="In Development",0.5,IF(X372="Ready",0.1,0)))))</f>
        <v/>
      </c>
      <c r="Z372" s="12" t="n"/>
      <c r="AA372" s="12" t="inlineStr">
        <is>
          <t>TC-048-B</t>
        </is>
      </c>
      <c r="AB372" s="12" t="inlineStr">
        <is>
          <t>Approved screen design; story reviewed with Guest; dependencies, API contract, role permissions and test data identified.</t>
        </is>
      </c>
      <c r="AC372" s="12" t="inlineStr">
        <is>
          <t>Code reviewed; unit, API, UI, RBAC and integration tests pass; accessibility and responsive states verified; audit evidence captured; product owner accepts in staging.</t>
        </is>
      </c>
      <c r="AD372" s="12" t="n"/>
    </row>
    <row r="373" ht="78" customHeight="1" s="43">
      <c r="A373" s="11" t="n">
        <v>3</v>
      </c>
      <c r="B373" s="11" t="n">
        <v>369</v>
      </c>
      <c r="C373" s="12" t="inlineStr">
        <is>
          <t>US-048-03</t>
        </is>
      </c>
      <c r="D373" s="12" t="inlineStr">
        <is>
          <t>Control permissions, overrides and audit for Guest Mobile Portal</t>
        </is>
      </c>
      <c r="E373" s="12" t="inlineStr">
        <is>
          <t>EPIC-25</t>
        </is>
      </c>
      <c r="F373" s="12" t="inlineStr">
        <is>
          <t>Guest Portal</t>
        </is>
      </c>
      <c r="G373" s="12" t="inlineStr">
        <is>
          <t>Mobile Self-Service</t>
        </is>
      </c>
      <c r="H373" s="11" t="inlineStr">
        <is>
          <t>SCR-048</t>
        </is>
      </c>
      <c r="I373" s="12" t="inlineStr">
        <is>
          <t>Guest Mobile Portal</t>
        </is>
      </c>
      <c r="J373" s="12" t="inlineStr">
        <is>
          <t>Security / Exceptions</t>
        </is>
      </c>
      <c r="K373" s="12" t="inlineStr">
        <is>
          <t>Guest</t>
        </is>
      </c>
      <c r="L373" s="12" t="inlineStr">
        <is>
          <t>As a department supervisor or auditor, I want sensitive actions in Guest Mobile Portal to follow permissions, approval limits and audit rules, so that resort operations remain secure, compliant and traceable.</t>
        </is>
      </c>
      <c r="M373" s="12" t="inlineStr">
        <is>
          <t>Reduces fraud, privacy leakage, unauthorized overrides and unresolved operational disputes.</t>
        </is>
      </c>
      <c r="N373" s="12" t="inlineStr">
        <is>
          <t>Roles, permissions, approval hierarchy and audit service are configured; allowed and denied test users exist.</t>
        </is>
      </c>
      <c r="O37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73" s="12" t="inlineStr">
        <is>
          <t>Tampered IDs, expired sessions, approval-limit violations and cross-tenant requests are rejected; secrets and sensitive guest/payment fields are never written to logs.</t>
        </is>
      </c>
      <c r="Q373" s="12" t="inlineStr">
        <is>
          <t>Tenant/property scope; required fields; optimistic locking; timezone-safe dates; reason mandatory for overrides; valid status transition; linked-record integrity</t>
        </is>
      </c>
      <c r="R373" s="12" t="inlineStr">
        <is>
          <t>Guests, Reservations, Payments</t>
        </is>
      </c>
      <c r="S373" s="12" t="inlineStr">
        <is>
          <t>GET, POST, PUT/PATCH, DELETE /api/v1/guest-mobile-portal; lookup, validation and audit endpoints; idempotency for financial/booking writes; entities: portal_sessions, self_checkin_submissions, guest_requests</t>
        </is>
      </c>
      <c r="T373" s="12" t="inlineStr">
        <is>
          <t>Could Have</t>
        </is>
      </c>
      <c r="U373" s="12" t="inlineStr">
        <is>
          <t>Release 1.2</t>
        </is>
      </c>
      <c r="V373" s="34" t="n">
        <v>3</v>
      </c>
      <c r="W373" s="12" t="inlineStr">
        <is>
          <t>S23-S25</t>
        </is>
      </c>
      <c r="X373" s="12" t="inlineStr">
        <is>
          <t>Backlog</t>
        </is>
      </c>
      <c r="Y373" s="13">
        <f>IF(X373="Done",1,IF(X373="QA",0.9,IF(X373="Code Review",0.75,IF(X373="In Development",0.5,IF(X373="Ready",0.1,0)))))</f>
        <v/>
      </c>
      <c r="Z373" s="12" t="n"/>
      <c r="AA373" s="12" t="inlineStr">
        <is>
          <t>TC-048-C</t>
        </is>
      </c>
      <c r="AB373" s="12" t="inlineStr">
        <is>
          <t>Approved screen design; story reviewed with Guest; dependencies, API contract, role permissions and test data identified.</t>
        </is>
      </c>
      <c r="AC373" s="12" t="inlineStr">
        <is>
          <t>Code reviewed; unit, API, UI, RBAC and integration tests pass; accessibility and responsive states verified; audit evidence captured; product owner accepts in staging.</t>
        </is>
      </c>
      <c r="AD373" s="12" t="n"/>
    </row>
    <row r="374" ht="78" customHeight="1" s="43">
      <c r="A374" s="11" t="n">
        <v>3</v>
      </c>
      <c r="B374" s="11" t="n">
        <v>370</v>
      </c>
      <c r="C374" s="12" t="inlineStr">
        <is>
          <t>US-049-01</t>
        </is>
      </c>
      <c r="D374" s="12" t="inlineStr">
        <is>
          <t>View and find information in Guest Self Check-In</t>
        </is>
      </c>
      <c r="E374" s="12" t="inlineStr">
        <is>
          <t>EPIC-25</t>
        </is>
      </c>
      <c r="F374" s="12" t="inlineStr">
        <is>
          <t>Guest Portal</t>
        </is>
      </c>
      <c r="G374" s="12" t="inlineStr">
        <is>
          <t>Digital Arrival</t>
        </is>
      </c>
      <c r="H374" s="11" t="inlineStr">
        <is>
          <t>SCR-049</t>
        </is>
      </c>
      <c r="I374" s="12" t="inlineStr">
        <is>
          <t>Guest Self Check-In</t>
        </is>
      </c>
      <c r="J374" s="12" t="inlineStr">
        <is>
          <t>View / Search</t>
        </is>
      </c>
      <c r="K374" s="12" t="inlineStr">
        <is>
          <t>Guest</t>
        </is>
      </c>
      <c r="L374" s="12" t="inlineStr">
        <is>
          <t>As a Guest, I want to open Guest Self Check-In and find relevant records using search, filters and sorting, so that I can make accurate operational decisions.</t>
        </is>
      </c>
      <c r="M374" s="12" t="inlineStr">
        <is>
          <t>Provides timely visibility for digital arrival and reduces manual lookup effort.</t>
        </is>
      </c>
      <c r="N374" s="12" t="inlineStr">
        <is>
          <t>Authenticated user; active property; view permission for Guest Portal; Guests, Reservations, Payments data available.</t>
        </is>
      </c>
      <c r="O374" s="12" t="inlineStr">
        <is>
          <t>Given I am authenticated as Guest with access to the selected property, when I open Guest Self Check-In,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74" s="12" t="inlineStr">
        <is>
          <t>Cross-property data never appears; unauthorized fields are masked; invalid filters do not break the screen; unavailable services return a controlled message.</t>
        </is>
      </c>
      <c r="Q374" s="12" t="inlineStr">
        <is>
          <t>Tenant/property scope; required fields; optimistic locking; timezone-safe dates; reason mandatory for overrides; valid status transition; linked-record integrity</t>
        </is>
      </c>
      <c r="R374" s="12" t="inlineStr">
        <is>
          <t>Guests, Reservations, Payments</t>
        </is>
      </c>
      <c r="S374" s="12" t="inlineStr">
        <is>
          <t>GET, POST, PUT/PATCH, DELETE /api/v1/guest-self-check-in; lookup, validation and audit endpoints; idempotency for financial/booking writes; entities: portal_sessions, self_checkin_submissions, guest_requests</t>
        </is>
      </c>
      <c r="T374" s="12" t="inlineStr">
        <is>
          <t>Could Have</t>
        </is>
      </c>
      <c r="U374" s="12" t="inlineStr">
        <is>
          <t>Release 1.2</t>
        </is>
      </c>
      <c r="V374" s="34" t="n">
        <v>3</v>
      </c>
      <c r="W374" s="12" t="inlineStr">
        <is>
          <t>S23-S25</t>
        </is>
      </c>
      <c r="X374" s="12" t="inlineStr">
        <is>
          <t>Backlog</t>
        </is>
      </c>
      <c r="Y374" s="13">
        <f>IF(X374="Done",1,IF(X374="QA",0.9,IF(X374="Code Review",0.75,IF(X374="In Development",0.5,IF(X374="Ready",0.1,0)))))</f>
        <v/>
      </c>
      <c r="Z374" s="12" t="n"/>
      <c r="AA374" s="12" t="inlineStr">
        <is>
          <t>TC-049-A</t>
        </is>
      </c>
      <c r="AB374" s="12" t="inlineStr">
        <is>
          <t>Approved screen design; story reviewed with Guest; dependencies, API contract, role permissions and test data identified.</t>
        </is>
      </c>
      <c r="AC374" s="12" t="inlineStr">
        <is>
          <t>Code reviewed; unit, API, UI, RBAC and integration tests pass; accessibility and responsive states verified; audit evidence captured; product owner accepts in staging.</t>
        </is>
      </c>
      <c r="AD374" s="12" t="n"/>
    </row>
    <row r="375" ht="78" customHeight="1" s="43">
      <c r="A375" s="11" t="n">
        <v>3</v>
      </c>
      <c r="B375" s="11" t="n">
        <v>371</v>
      </c>
      <c r="C375" s="12" t="inlineStr">
        <is>
          <t>US-049-02</t>
        </is>
      </c>
      <c r="D375" s="12" t="inlineStr">
        <is>
          <t>Complete the primary Guest Self Check-In workflow</t>
        </is>
      </c>
      <c r="E375" s="12" t="inlineStr">
        <is>
          <t>EPIC-25</t>
        </is>
      </c>
      <c r="F375" s="12" t="inlineStr">
        <is>
          <t>Guest Portal</t>
        </is>
      </c>
      <c r="G375" s="12" t="inlineStr">
        <is>
          <t>Digital Arrival</t>
        </is>
      </c>
      <c r="H375" s="11" t="inlineStr">
        <is>
          <t>SCR-049</t>
        </is>
      </c>
      <c r="I375" s="12" t="inlineStr">
        <is>
          <t>Guest Self Check-In</t>
        </is>
      </c>
      <c r="J375" s="12" t="inlineStr">
        <is>
          <t>Primary Workflow</t>
        </is>
      </c>
      <c r="K375" s="12" t="inlineStr">
        <is>
          <t>Guest</t>
        </is>
      </c>
      <c r="L375" s="12" t="inlineStr">
        <is>
          <t>As a Guest, I want to list, search, filter, view, create, edit, cancel/delete under policy, export in Guest Self Check-In, so that the digital arrival process is completed accurately without duplicate or inconsistent records.</t>
        </is>
      </c>
      <c r="M375" s="12" t="inlineStr">
        <is>
          <t>Enable guest portal users to manage digital arrival through the Guest Self Check-In workflow with real-time status, validations and traceability.</t>
        </is>
      </c>
      <c r="N375" s="12" t="inlineStr">
        <is>
          <t>View access confirmed; required masters and linked records exist; Guests, Reservations, Payments services are available; approval limit is valid.</t>
        </is>
      </c>
      <c r="O37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self check-in workflow; invalid or conflicting actions are blocked with clear messages; saved changes appear in related screens; sensitive changes are auditable.</t>
        </is>
      </c>
      <c r="P375" s="12" t="inlineStr">
        <is>
          <t>Duplicate submission is idempotent; stale data returns a refresh/conflict message; invalid status transitions are blocked; partial failure rolls back without orphan records.</t>
        </is>
      </c>
      <c r="Q375" s="12" t="inlineStr">
        <is>
          <t>Tenant/property scope; required fields; optimistic locking; timezone-safe dates; reason mandatory for overrides; valid status transition; linked-record integrity</t>
        </is>
      </c>
      <c r="R375" s="12" t="inlineStr">
        <is>
          <t>Guests, Reservations, Payments</t>
        </is>
      </c>
      <c r="S375" s="12" t="inlineStr">
        <is>
          <t>GET, POST, PUT/PATCH, DELETE /api/v1/guest-self-check-in; lookup, validation and audit endpoints; idempotency for financial/booking writes; entities: portal_sessions, self_checkin_submissions, guest_requests</t>
        </is>
      </c>
      <c r="T375" s="12" t="inlineStr">
        <is>
          <t>Could Have</t>
        </is>
      </c>
      <c r="U375" s="12" t="inlineStr">
        <is>
          <t>Release 1.2</t>
        </is>
      </c>
      <c r="V375" s="34" t="n">
        <v>5</v>
      </c>
      <c r="W375" s="12" t="inlineStr">
        <is>
          <t>S23-S25</t>
        </is>
      </c>
      <c r="X375" s="12" t="inlineStr">
        <is>
          <t>Backlog</t>
        </is>
      </c>
      <c r="Y375" s="13">
        <f>IF(X375="Done",1,IF(X375="QA",0.9,IF(X375="Code Review",0.75,IF(X375="In Development",0.5,IF(X375="Ready",0.1,0)))))</f>
        <v/>
      </c>
      <c r="Z375" s="12" t="n"/>
      <c r="AA375" s="12" t="inlineStr">
        <is>
          <t>TC-049-B</t>
        </is>
      </c>
      <c r="AB375" s="12" t="inlineStr">
        <is>
          <t>Approved screen design; story reviewed with Guest; dependencies, API contract, role permissions and test data identified.</t>
        </is>
      </c>
      <c r="AC375" s="12" t="inlineStr">
        <is>
          <t>Code reviewed; unit, API, UI, RBAC and integration tests pass; accessibility and responsive states verified; audit evidence captured; product owner accepts in staging.</t>
        </is>
      </c>
      <c r="AD375" s="12" t="n"/>
    </row>
    <row r="376" ht="78" customHeight="1" s="43">
      <c r="A376" s="11" t="n">
        <v>3</v>
      </c>
      <c r="B376" s="11" t="n">
        <v>372</v>
      </c>
      <c r="C376" s="12" t="inlineStr">
        <is>
          <t>US-049-03</t>
        </is>
      </c>
      <c r="D376" s="12" t="inlineStr">
        <is>
          <t>Control permissions, overrides and audit for Guest Self Check-In</t>
        </is>
      </c>
      <c r="E376" s="12" t="inlineStr">
        <is>
          <t>EPIC-25</t>
        </is>
      </c>
      <c r="F376" s="12" t="inlineStr">
        <is>
          <t>Guest Portal</t>
        </is>
      </c>
      <c r="G376" s="12" t="inlineStr">
        <is>
          <t>Digital Arrival</t>
        </is>
      </c>
      <c r="H376" s="11" t="inlineStr">
        <is>
          <t>SCR-049</t>
        </is>
      </c>
      <c r="I376" s="12" t="inlineStr">
        <is>
          <t>Guest Self Check-In</t>
        </is>
      </c>
      <c r="J376" s="12" t="inlineStr">
        <is>
          <t>Security / Exceptions</t>
        </is>
      </c>
      <c r="K376" s="12" t="inlineStr">
        <is>
          <t>Guest</t>
        </is>
      </c>
      <c r="L376" s="12" t="inlineStr">
        <is>
          <t>As a department supervisor or auditor, I want sensitive actions in Guest Self Check-In to follow permissions, approval limits and audit rules, so that resort operations remain secure, compliant and traceable.</t>
        </is>
      </c>
      <c r="M376" s="12" t="inlineStr">
        <is>
          <t>Reduces fraud, privacy leakage, unauthorized overrides and unresolved operational disputes.</t>
        </is>
      </c>
      <c r="N376" s="12" t="inlineStr">
        <is>
          <t>Roles, permissions, approval hierarchy and audit service are configured; allowed and denied test users exist.</t>
        </is>
      </c>
      <c r="O37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76" s="12" t="inlineStr">
        <is>
          <t>Tampered IDs, expired sessions, approval-limit violations and cross-tenant requests are rejected; secrets and sensitive guest/payment fields are never written to logs.</t>
        </is>
      </c>
      <c r="Q376" s="12" t="inlineStr">
        <is>
          <t>Tenant/property scope; required fields; optimistic locking; timezone-safe dates; reason mandatory for overrides; valid status transition; linked-record integrity</t>
        </is>
      </c>
      <c r="R376" s="12" t="inlineStr">
        <is>
          <t>Guests, Reservations, Payments</t>
        </is>
      </c>
      <c r="S376" s="12" t="inlineStr">
        <is>
          <t>GET, POST, PUT/PATCH, DELETE /api/v1/guest-self-check-in; lookup, validation and audit endpoints; idempotency for financial/booking writes; entities: portal_sessions, self_checkin_submissions, guest_requests</t>
        </is>
      </c>
      <c r="T376" s="12" t="inlineStr">
        <is>
          <t>Could Have</t>
        </is>
      </c>
      <c r="U376" s="12" t="inlineStr">
        <is>
          <t>Release 1.2</t>
        </is>
      </c>
      <c r="V376" s="34" t="n">
        <v>3</v>
      </c>
      <c r="W376" s="12" t="inlineStr">
        <is>
          <t>S23-S25</t>
        </is>
      </c>
      <c r="X376" s="12" t="inlineStr">
        <is>
          <t>Backlog</t>
        </is>
      </c>
      <c r="Y376" s="13">
        <f>IF(X376="Done",1,IF(X376="QA",0.9,IF(X376="Code Review",0.75,IF(X376="In Development",0.5,IF(X376="Ready",0.1,0)))))</f>
        <v/>
      </c>
      <c r="Z376" s="12" t="n"/>
      <c r="AA376" s="12" t="inlineStr">
        <is>
          <t>TC-049-C</t>
        </is>
      </c>
      <c r="AB376" s="12" t="inlineStr">
        <is>
          <t>Approved screen design; story reviewed with Guest; dependencies, API contract, role permissions and test data identified.</t>
        </is>
      </c>
      <c r="AC376" s="12" t="inlineStr">
        <is>
          <t>Code reviewed; unit, API, UI, RBAC and integration tests pass; accessibility and responsive states verified; audit evidence captured; product owner accepts in staging.</t>
        </is>
      </c>
      <c r="AD376" s="12" t="n"/>
    </row>
    <row r="377" ht="78" customHeight="1" s="43">
      <c r="A377" s="11" t="n">
        <v>3</v>
      </c>
      <c r="B377" s="11" t="n">
        <v>373</v>
      </c>
      <c r="C377" s="12" t="inlineStr">
        <is>
          <t>US-050-01</t>
        </is>
      </c>
      <c r="D377" s="12" t="inlineStr">
        <is>
          <t>View and find information in Travel Agent and Corporate Portal</t>
        </is>
      </c>
      <c r="E377" s="12" t="inlineStr">
        <is>
          <t>EPIC-26</t>
        </is>
      </c>
      <c r="F377" s="12" t="inlineStr">
        <is>
          <t>Partner Portal</t>
        </is>
      </c>
      <c r="G377" s="12" t="inlineStr">
        <is>
          <t>B2B Booking</t>
        </is>
      </c>
      <c r="H377" s="11" t="inlineStr">
        <is>
          <t>SCR-050</t>
        </is>
      </c>
      <c r="I377" s="12" t="inlineStr">
        <is>
          <t>Travel Agent and Corporate Portal</t>
        </is>
      </c>
      <c r="J377" s="12" t="inlineStr">
        <is>
          <t>View / Search</t>
        </is>
      </c>
      <c r="K377" s="12" t="inlineStr">
        <is>
          <t>Travel Agent</t>
        </is>
      </c>
      <c r="L377" s="12" t="inlineStr">
        <is>
          <t>As a Travel Agent, I want to open Travel Agent and Corporate Portal and find relevant records using search, filters and sorting, so that I can make accurate operational decisions.</t>
        </is>
      </c>
      <c r="M377" s="12" t="inlineStr">
        <is>
          <t>Provides timely visibility for b2b booking and reduces manual lookup effort.</t>
        </is>
      </c>
      <c r="N377" s="12" t="inlineStr">
        <is>
          <t>Authenticated user; active property; view permission for Partner Portal; Reservations, Rates, Finance data available.</t>
        </is>
      </c>
      <c r="O377" s="12" t="inlineStr">
        <is>
          <t>Given I am authenticated as Travel Agent with access to the selected property, when I open Travel Agent and Corporate Portal,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77" s="12" t="inlineStr">
        <is>
          <t>Cross-property data never appears; unauthorized fields are masked; invalid filters do not break the screen; unavailable services return a controlled message.</t>
        </is>
      </c>
      <c r="Q377" s="12" t="inlineStr">
        <is>
          <t>Tenant/property scope; required fields; optimistic locking; timezone-safe dates; reason mandatory for overrides; valid status transition; linked-record integrity</t>
        </is>
      </c>
      <c r="R377" s="12" t="inlineStr">
        <is>
          <t>Reservations, Rates, Finance</t>
        </is>
      </c>
      <c r="S377" s="12" t="inlineStr">
        <is>
          <t>GET, POST, PUT/PATCH, DELETE /api/v1/travel-agent-and-corporate-portal; lookup, validation and audit endpoints; idempotency for financial/booking writes; entities: partner_accounts, portal_bookings, commissions</t>
        </is>
      </c>
      <c r="T377" s="12" t="inlineStr">
        <is>
          <t>Could Have</t>
        </is>
      </c>
      <c r="U377" s="12" t="inlineStr">
        <is>
          <t>Release 1.2</t>
        </is>
      </c>
      <c r="V377" s="34" t="n">
        <v>3</v>
      </c>
      <c r="W377" s="12" t="inlineStr">
        <is>
          <t>S23-S25</t>
        </is>
      </c>
      <c r="X377" s="12" t="inlineStr">
        <is>
          <t>Backlog</t>
        </is>
      </c>
      <c r="Y377" s="13">
        <f>IF(X377="Done",1,IF(X377="QA",0.9,IF(X377="Code Review",0.75,IF(X377="In Development",0.5,IF(X377="Ready",0.1,0)))))</f>
        <v/>
      </c>
      <c r="Z377" s="12" t="n"/>
      <c r="AA377" s="12" t="inlineStr">
        <is>
          <t>TC-050-A</t>
        </is>
      </c>
      <c r="AB377" s="12" t="inlineStr">
        <is>
          <t>Approved screen design; story reviewed with Travel Agent; dependencies, API contract, role permissions and test data identified.</t>
        </is>
      </c>
      <c r="AC377" s="12" t="inlineStr">
        <is>
          <t>Code reviewed; unit, API, UI, RBAC and integration tests pass; accessibility and responsive states verified; audit evidence captured; product owner accepts in staging.</t>
        </is>
      </c>
      <c r="AD377" s="12" t="n"/>
    </row>
    <row r="378" ht="78" customHeight="1" s="43">
      <c r="A378" s="11" t="n">
        <v>3</v>
      </c>
      <c r="B378" s="11" t="n">
        <v>374</v>
      </c>
      <c r="C378" s="12" t="inlineStr">
        <is>
          <t>US-050-02</t>
        </is>
      </c>
      <c r="D378" s="12" t="inlineStr">
        <is>
          <t>Complete the primary Travel Agent and Corporate Portal workflow</t>
        </is>
      </c>
      <c r="E378" s="12" t="inlineStr">
        <is>
          <t>EPIC-26</t>
        </is>
      </c>
      <c r="F378" s="12" t="inlineStr">
        <is>
          <t>Partner Portal</t>
        </is>
      </c>
      <c r="G378" s="12" t="inlineStr">
        <is>
          <t>B2B Booking</t>
        </is>
      </c>
      <c r="H378" s="11" t="inlineStr">
        <is>
          <t>SCR-050</t>
        </is>
      </c>
      <c r="I378" s="12" t="inlineStr">
        <is>
          <t>Travel Agent and Corporate Portal</t>
        </is>
      </c>
      <c r="J378" s="12" t="inlineStr">
        <is>
          <t>Primary Workflow</t>
        </is>
      </c>
      <c r="K378" s="12" t="inlineStr">
        <is>
          <t>Travel Agent</t>
        </is>
      </c>
      <c r="L378" s="12" t="inlineStr">
        <is>
          <t>As a Travel Agent, I want to list, search, filter, view, create, edit, cancel/delete under policy, export in Travel Agent and Corporate Portal, so that the b2b booking process is completed accurately without duplicate or inconsistent records.</t>
        </is>
      </c>
      <c r="M378" s="12" t="inlineStr">
        <is>
          <t>Enable partner portal users to manage b2b booking through the Travel Agent and Corporate Portal workflow with real-time status, validations and traceability.</t>
        </is>
      </c>
      <c r="N378" s="12" t="inlineStr">
        <is>
          <t>View access confirmed; required masters and linked records exist; Reservations, Rates, Finance services are available; approval limit is valid.</t>
        </is>
      </c>
      <c r="O37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travel agent and corporate portal workflow; invalid or conflicting actions are blocked with clear messages; saved changes appear in related screens; sensitive changes are auditable.</t>
        </is>
      </c>
      <c r="P378" s="12" t="inlineStr">
        <is>
          <t>Duplicate submission is idempotent; stale data returns a refresh/conflict message; invalid status transitions are blocked; partial failure rolls back without orphan records.</t>
        </is>
      </c>
      <c r="Q378" s="12" t="inlineStr">
        <is>
          <t>Tenant/property scope; required fields; optimistic locking; timezone-safe dates; reason mandatory for overrides; valid status transition; linked-record integrity</t>
        </is>
      </c>
      <c r="R378" s="12" t="inlineStr">
        <is>
          <t>Reservations, Rates, Finance</t>
        </is>
      </c>
      <c r="S378" s="12" t="inlineStr">
        <is>
          <t>GET, POST, PUT/PATCH, DELETE /api/v1/travel-agent-and-corporate-portal; lookup, validation and audit endpoints; idempotency for financial/booking writes; entities: partner_accounts, portal_bookings, commissions</t>
        </is>
      </c>
      <c r="T378" s="12" t="inlineStr">
        <is>
          <t>Could Have</t>
        </is>
      </c>
      <c r="U378" s="12" t="inlineStr">
        <is>
          <t>Release 1.2</t>
        </is>
      </c>
      <c r="V378" s="34" t="n">
        <v>5</v>
      </c>
      <c r="W378" s="12" t="inlineStr">
        <is>
          <t>S23-S25</t>
        </is>
      </c>
      <c r="X378" s="12" t="inlineStr">
        <is>
          <t>Backlog</t>
        </is>
      </c>
      <c r="Y378" s="13">
        <f>IF(X378="Done",1,IF(X378="QA",0.9,IF(X378="Code Review",0.75,IF(X378="In Development",0.5,IF(X378="Ready",0.1,0)))))</f>
        <v/>
      </c>
      <c r="Z378" s="12" t="n"/>
      <c r="AA378" s="12" t="inlineStr">
        <is>
          <t>TC-050-B</t>
        </is>
      </c>
      <c r="AB378" s="12" t="inlineStr">
        <is>
          <t>Approved screen design; story reviewed with Travel Agent; dependencies, API contract, role permissions and test data identified.</t>
        </is>
      </c>
      <c r="AC378" s="12" t="inlineStr">
        <is>
          <t>Code reviewed; unit, API, UI, RBAC and integration tests pass; accessibility and responsive states verified; audit evidence captured; product owner accepts in staging.</t>
        </is>
      </c>
      <c r="AD378" s="12" t="n"/>
    </row>
    <row r="379" ht="78" customHeight="1" s="43">
      <c r="A379" s="11" t="n">
        <v>3</v>
      </c>
      <c r="B379" s="11" t="n">
        <v>375</v>
      </c>
      <c r="C379" s="12" t="inlineStr">
        <is>
          <t>US-050-03</t>
        </is>
      </c>
      <c r="D379" s="12" t="inlineStr">
        <is>
          <t>Control permissions, overrides and audit for Travel Agent and Corporate Portal</t>
        </is>
      </c>
      <c r="E379" s="12" t="inlineStr">
        <is>
          <t>EPIC-26</t>
        </is>
      </c>
      <c r="F379" s="12" t="inlineStr">
        <is>
          <t>Partner Portal</t>
        </is>
      </c>
      <c r="G379" s="12" t="inlineStr">
        <is>
          <t>B2B Booking</t>
        </is>
      </c>
      <c r="H379" s="11" t="inlineStr">
        <is>
          <t>SCR-050</t>
        </is>
      </c>
      <c r="I379" s="12" t="inlineStr">
        <is>
          <t>Travel Agent and Corporate Portal</t>
        </is>
      </c>
      <c r="J379" s="12" t="inlineStr">
        <is>
          <t>Security / Exceptions</t>
        </is>
      </c>
      <c r="K379" s="12" t="inlineStr">
        <is>
          <t>Travel Agent</t>
        </is>
      </c>
      <c r="L379" s="12" t="inlineStr">
        <is>
          <t>As a department supervisor or auditor, I want sensitive actions in Travel Agent and Corporate Portal to follow permissions, approval limits and audit rules, so that resort operations remain secure, compliant and traceable.</t>
        </is>
      </c>
      <c r="M379" s="12" t="inlineStr">
        <is>
          <t>Reduces fraud, privacy leakage, unauthorized overrides and unresolved operational disputes.</t>
        </is>
      </c>
      <c r="N379" s="12" t="inlineStr">
        <is>
          <t>Roles, permissions, approval hierarchy and audit service are configured; allowed and denied test users exist.</t>
        </is>
      </c>
      <c r="O37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79" s="12" t="inlineStr">
        <is>
          <t>Tampered IDs, expired sessions, approval-limit violations and cross-tenant requests are rejected; secrets and sensitive guest/payment fields are never written to logs.</t>
        </is>
      </c>
      <c r="Q379" s="12" t="inlineStr">
        <is>
          <t>Tenant/property scope; required fields; optimistic locking; timezone-safe dates; reason mandatory for overrides; valid status transition; linked-record integrity</t>
        </is>
      </c>
      <c r="R379" s="12" t="inlineStr">
        <is>
          <t>Reservations, Rates, Finance</t>
        </is>
      </c>
      <c r="S379" s="12" t="inlineStr">
        <is>
          <t>GET, POST, PUT/PATCH, DELETE /api/v1/travel-agent-and-corporate-portal; lookup, validation and audit endpoints; idempotency for financial/booking writes; entities: partner_accounts, portal_bookings, commissions</t>
        </is>
      </c>
      <c r="T379" s="12" t="inlineStr">
        <is>
          <t>Could Have</t>
        </is>
      </c>
      <c r="U379" s="12" t="inlineStr">
        <is>
          <t>Release 1.2</t>
        </is>
      </c>
      <c r="V379" s="34" t="n">
        <v>3</v>
      </c>
      <c r="W379" s="12" t="inlineStr">
        <is>
          <t>S23-S25</t>
        </is>
      </c>
      <c r="X379" s="12" t="inlineStr">
        <is>
          <t>Backlog</t>
        </is>
      </c>
      <c r="Y379" s="13">
        <f>IF(X379="Done",1,IF(X379="QA",0.9,IF(X379="Code Review",0.75,IF(X379="In Development",0.5,IF(X379="Ready",0.1,0)))))</f>
        <v/>
      </c>
      <c r="Z379" s="12" t="n"/>
      <c r="AA379" s="12" t="inlineStr">
        <is>
          <t>TC-050-C</t>
        </is>
      </c>
      <c r="AB379" s="12" t="inlineStr">
        <is>
          <t>Approved screen design; story reviewed with Travel Agent; dependencies, API contract, role permissions and test data identified.</t>
        </is>
      </c>
      <c r="AC379" s="12" t="inlineStr">
        <is>
          <t>Code reviewed; unit, API, UI, RBAC and integration tests pass; accessibility and responsive states verified; audit evidence captured; product owner accepts in staging.</t>
        </is>
      </c>
      <c r="AD379" s="12" t="n"/>
    </row>
    <row r="380" ht="78" customHeight="1" s="43">
      <c r="A380" s="11" t="n">
        <v>3</v>
      </c>
      <c r="B380" s="11" t="n">
        <v>376</v>
      </c>
      <c r="C380" s="12" t="inlineStr">
        <is>
          <t>US-124-01</t>
        </is>
      </c>
      <c r="D380" s="12" t="inlineStr">
        <is>
          <t>View and find information in Integration Hub</t>
        </is>
      </c>
      <c r="E380" s="12" t="inlineStr">
        <is>
          <t>EPIC-28</t>
        </is>
      </c>
      <c r="F380" s="12" t="inlineStr">
        <is>
          <t>Integrations</t>
        </is>
      </c>
      <c r="G380" s="12" t="inlineStr">
        <is>
          <t>Integration Management</t>
        </is>
      </c>
      <c r="H380" s="11" t="inlineStr">
        <is>
          <t>SCR-124</t>
        </is>
      </c>
      <c r="I380" s="12" t="inlineStr">
        <is>
          <t>Integration Hub</t>
        </is>
      </c>
      <c r="J380" s="12" t="inlineStr">
        <is>
          <t>View / Search</t>
        </is>
      </c>
      <c r="K380" s="12" t="inlineStr">
        <is>
          <t>Integration Admin</t>
        </is>
      </c>
      <c r="L380" s="12" t="inlineStr">
        <is>
          <t>As a Integration Admin, I want to open Integration Hub and find relevant records using search, filters and sorting, so that I can make accurate operational decisions.</t>
        </is>
      </c>
      <c r="M380" s="12" t="inlineStr">
        <is>
          <t>Provides timely visibility for integration management and reduces manual lookup effort.</t>
        </is>
      </c>
      <c r="N380" s="12" t="inlineStr">
        <is>
          <t>Authenticated user; active property; view permission for Integrations; All connected services data available.</t>
        </is>
      </c>
      <c r="O380" s="12" t="inlineStr">
        <is>
          <t>Given I am authenticated as Integration Admin with access to the selected property, when I open Integration Hub,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80" s="12" t="inlineStr">
        <is>
          <t>Cross-property data never appears; unauthorized fields are masked; invalid filters do not break the screen; unavailable services return a controlled message.</t>
        </is>
      </c>
      <c r="Q380" s="12" t="inlineStr">
        <is>
          <t>Tenant/property scope; required fields; optimistic locking; timezone-safe dates; reason mandatory for overrides; least privilege; secret masking; versioning; change approval</t>
        </is>
      </c>
      <c r="R380" s="12" t="inlineStr">
        <is>
          <t>All connected services</t>
        </is>
      </c>
      <c r="S380" s="12" t="inlineStr">
        <is>
          <t>GET, POST, PUT/PATCH, DELETE /api/v1/integration-hub; lookup, validation and audit endpoints; idempotency for financial/booking writes; entities: integrations, credentials, webhooks, sync_jobs</t>
        </is>
      </c>
      <c r="T380" s="12" t="inlineStr">
        <is>
          <t>Could Have</t>
        </is>
      </c>
      <c r="U380" s="12" t="inlineStr">
        <is>
          <t>Release 1.2</t>
        </is>
      </c>
      <c r="V380" s="34" t="n">
        <v>3</v>
      </c>
      <c r="W380" s="12" t="inlineStr">
        <is>
          <t>S23-S25</t>
        </is>
      </c>
      <c r="X380" s="12" t="inlineStr">
        <is>
          <t>Backlog</t>
        </is>
      </c>
      <c r="Y380" s="13">
        <f>IF(X380="Done",1,IF(X380="QA",0.9,IF(X380="Code Review",0.75,IF(X380="In Development",0.5,IF(X380="Ready",0.1,0)))))</f>
        <v/>
      </c>
      <c r="Z380" s="12" t="n"/>
      <c r="AA380" s="12" t="inlineStr">
        <is>
          <t>TC-124-A</t>
        </is>
      </c>
      <c r="AB380" s="12" t="inlineStr">
        <is>
          <t>Approved screen design; story reviewed with Integration Admin; dependencies, API contract, role permissions and test data identified.</t>
        </is>
      </c>
      <c r="AC380" s="12" t="inlineStr">
        <is>
          <t>Code reviewed; unit, API, UI, RBAC and integration tests pass; accessibility and responsive states verified; audit evidence captured; product owner accepts in staging.</t>
        </is>
      </c>
      <c r="AD380" s="12" t="n"/>
    </row>
    <row r="381" ht="78" customHeight="1" s="43">
      <c r="A381" s="11" t="n">
        <v>3</v>
      </c>
      <c r="B381" s="11" t="n">
        <v>377</v>
      </c>
      <c r="C381" s="12" t="inlineStr">
        <is>
          <t>US-124-02</t>
        </is>
      </c>
      <c r="D381" s="12" t="inlineStr">
        <is>
          <t>Complete the primary Integration Hub workflow</t>
        </is>
      </c>
      <c r="E381" s="12" t="inlineStr">
        <is>
          <t>EPIC-28</t>
        </is>
      </c>
      <c r="F381" s="12" t="inlineStr">
        <is>
          <t>Integrations</t>
        </is>
      </c>
      <c r="G381" s="12" t="inlineStr">
        <is>
          <t>Integration Management</t>
        </is>
      </c>
      <c r="H381" s="11" t="inlineStr">
        <is>
          <t>SCR-124</t>
        </is>
      </c>
      <c r="I381" s="12" t="inlineStr">
        <is>
          <t>Integration Hub</t>
        </is>
      </c>
      <c r="J381" s="12" t="inlineStr">
        <is>
          <t>Primary Workflow</t>
        </is>
      </c>
      <c r="K381" s="12" t="inlineStr">
        <is>
          <t>Integration Admin</t>
        </is>
      </c>
      <c r="L381" s="12" t="inlineStr">
        <is>
          <t>As a Integration Admin, I want to list, search, filter, view, create, edit, cancel/delete under policy, export in Integration Hub, so that the integration management process is completed accurately without duplicate or inconsistent records.</t>
        </is>
      </c>
      <c r="M381" s="12" t="inlineStr">
        <is>
          <t>Enable integrations users to manage integration management through the Integration Hub workflow with real-time status, validations and traceability.</t>
        </is>
      </c>
      <c r="N381" s="12" t="inlineStr">
        <is>
          <t>View access confirmed; required masters and linked records exist; All connected services services are available; approval limit is valid.</t>
        </is>
      </c>
      <c r="O38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integration hub workflow; invalid or conflicting actions are blocked with clear messages; saved changes appear in related screens; sensitive changes are auditable.</t>
        </is>
      </c>
      <c r="P381" s="12" t="inlineStr">
        <is>
          <t>Duplicate submission is idempotent; stale data returns a refresh/conflict message; invalid status transitions are blocked; partial failure rolls back without orphan records.</t>
        </is>
      </c>
      <c r="Q381" s="12" t="inlineStr">
        <is>
          <t>Tenant/property scope; required fields; optimistic locking; timezone-safe dates; reason mandatory for overrides; least privilege; secret masking; versioning; change approval</t>
        </is>
      </c>
      <c r="R381" s="12" t="inlineStr">
        <is>
          <t>All connected services</t>
        </is>
      </c>
      <c r="S381" s="12" t="inlineStr">
        <is>
          <t>GET, POST, PUT/PATCH, DELETE /api/v1/integration-hub; lookup, validation and audit endpoints; idempotency for financial/booking writes; entities: integrations, credentials, webhooks, sync_jobs</t>
        </is>
      </c>
      <c r="T381" s="12" t="inlineStr">
        <is>
          <t>Could Have</t>
        </is>
      </c>
      <c r="U381" s="12" t="inlineStr">
        <is>
          <t>Release 1.2</t>
        </is>
      </c>
      <c r="V381" s="34" t="n">
        <v>8</v>
      </c>
      <c r="W381" s="12" t="inlineStr">
        <is>
          <t>S23-S25</t>
        </is>
      </c>
      <c r="X381" s="12" t="inlineStr">
        <is>
          <t>Backlog</t>
        </is>
      </c>
      <c r="Y381" s="13">
        <f>IF(X381="Done",1,IF(X381="QA",0.9,IF(X381="Code Review",0.75,IF(X381="In Development",0.5,IF(X381="Ready",0.1,0)))))</f>
        <v/>
      </c>
      <c r="Z381" s="12" t="n"/>
      <c r="AA381" s="12" t="inlineStr">
        <is>
          <t>TC-124-B</t>
        </is>
      </c>
      <c r="AB381" s="12" t="inlineStr">
        <is>
          <t>Approved screen design; story reviewed with Integration Admin; dependencies, API contract, role permissions and test data identified.</t>
        </is>
      </c>
      <c r="AC381" s="12" t="inlineStr">
        <is>
          <t>Code reviewed; unit, API, UI, RBAC and integration tests pass; accessibility and responsive states verified; audit evidence captured; product owner accepts in staging.</t>
        </is>
      </c>
      <c r="AD381" s="12" t="n"/>
    </row>
    <row r="382" ht="78" customHeight="1" s="43">
      <c r="A382" s="11" t="n">
        <v>3</v>
      </c>
      <c r="B382" s="11" t="n">
        <v>378</v>
      </c>
      <c r="C382" s="12" t="inlineStr">
        <is>
          <t>US-124-03</t>
        </is>
      </c>
      <c r="D382" s="12" t="inlineStr">
        <is>
          <t>Control permissions, overrides and audit for Integration Hub</t>
        </is>
      </c>
      <c r="E382" s="12" t="inlineStr">
        <is>
          <t>EPIC-28</t>
        </is>
      </c>
      <c r="F382" s="12" t="inlineStr">
        <is>
          <t>Integrations</t>
        </is>
      </c>
      <c r="G382" s="12" t="inlineStr">
        <is>
          <t>Integration Management</t>
        </is>
      </c>
      <c r="H382" s="11" t="inlineStr">
        <is>
          <t>SCR-124</t>
        </is>
      </c>
      <c r="I382" s="12" t="inlineStr">
        <is>
          <t>Integration Hub</t>
        </is>
      </c>
      <c r="J382" s="12" t="inlineStr">
        <is>
          <t>Security / Exceptions</t>
        </is>
      </c>
      <c r="K382" s="12" t="inlineStr">
        <is>
          <t>Integration Admin</t>
        </is>
      </c>
      <c r="L382" s="12" t="inlineStr">
        <is>
          <t>As a department supervisor or auditor, I want sensitive actions in Integration Hub to follow permissions, approval limits and audit rules, so that resort operations remain secure, compliant and traceable.</t>
        </is>
      </c>
      <c r="M382" s="12" t="inlineStr">
        <is>
          <t>Reduces fraud, privacy leakage, unauthorized overrides and unresolved operational disputes.</t>
        </is>
      </c>
      <c r="N382" s="12" t="inlineStr">
        <is>
          <t>Roles, permissions, approval hierarchy and audit service are configured; allowed and denied test users exist.</t>
        </is>
      </c>
      <c r="O38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82" s="12" t="inlineStr">
        <is>
          <t>Tampered IDs, expired sessions, approval-limit violations and cross-tenant requests are rejected; secrets and sensitive guest/payment fields are never written to logs.</t>
        </is>
      </c>
      <c r="Q382" s="12" t="inlineStr">
        <is>
          <t>Tenant/property scope; required fields; optimistic locking; timezone-safe dates; reason mandatory for overrides; least privilege; secret masking; versioning; change approval</t>
        </is>
      </c>
      <c r="R382" s="12" t="inlineStr">
        <is>
          <t>All connected services</t>
        </is>
      </c>
      <c r="S382" s="12" t="inlineStr">
        <is>
          <t>GET, POST, PUT/PATCH, DELETE /api/v1/integration-hub; lookup, validation and audit endpoints; idempotency for financial/booking writes; entities: integrations, credentials, webhooks, sync_jobs</t>
        </is>
      </c>
      <c r="T382" s="12" t="inlineStr">
        <is>
          <t>Could Have</t>
        </is>
      </c>
      <c r="U382" s="12" t="inlineStr">
        <is>
          <t>Release 1.2</t>
        </is>
      </c>
      <c r="V382" s="34" t="n">
        <v>5</v>
      </c>
      <c r="W382" s="12" t="inlineStr">
        <is>
          <t>S23-S25</t>
        </is>
      </c>
      <c r="X382" s="12" t="inlineStr">
        <is>
          <t>Backlog</t>
        </is>
      </c>
      <c r="Y382" s="13">
        <f>IF(X382="Done",1,IF(X382="QA",0.9,IF(X382="Code Review",0.75,IF(X382="In Development",0.5,IF(X382="Ready",0.1,0)))))</f>
        <v/>
      </c>
      <c r="Z382" s="12" t="n"/>
      <c r="AA382" s="12" t="inlineStr">
        <is>
          <t>TC-124-C</t>
        </is>
      </c>
      <c r="AB382" s="12" t="inlineStr">
        <is>
          <t>Approved screen design; story reviewed with Integration Admin; dependencies, API contract, role permissions and test data identified.</t>
        </is>
      </c>
      <c r="AC382" s="12" t="inlineStr">
        <is>
          <t>Code reviewed; unit, API, UI, RBAC and integration tests pass; accessibility and responsive states verified; audit evidence captured; product owner accepts in staging.</t>
        </is>
      </c>
      <c r="AD382" s="12" t="n"/>
    </row>
    <row r="383" ht="78" customHeight="1" s="43">
      <c r="A383" s="11" t="n">
        <v>3</v>
      </c>
      <c r="B383" s="11" t="n">
        <v>379</v>
      </c>
      <c r="C383" s="12" t="inlineStr">
        <is>
          <t>US-127-01</t>
        </is>
      </c>
      <c r="D383" s="12" t="inlineStr">
        <is>
          <t>View and find information in AI Agent Builder</t>
        </is>
      </c>
      <c r="E383" s="12" t="inlineStr">
        <is>
          <t>EPIC-23</t>
        </is>
      </c>
      <c r="F383" s="12" t="inlineStr">
        <is>
          <t>AI &amp; Automation</t>
        </is>
      </c>
      <c r="G383" s="12" t="inlineStr">
        <is>
          <t>Agent Design</t>
        </is>
      </c>
      <c r="H383" s="11" t="inlineStr">
        <is>
          <t>SCR-127</t>
        </is>
      </c>
      <c r="I383" s="12" t="inlineStr">
        <is>
          <t>AI Agent Builder</t>
        </is>
      </c>
      <c r="J383" s="12" t="inlineStr">
        <is>
          <t>View / Search</t>
        </is>
      </c>
      <c r="K383" s="12" t="inlineStr">
        <is>
          <t>AI Admin</t>
        </is>
      </c>
      <c r="L383" s="12" t="inlineStr">
        <is>
          <t>As a AI Admin, I want to open AI Agent Builder and find relevant records using search, filters and sorting, so that I can make accurate operational decisions.</t>
        </is>
      </c>
      <c r="M383" s="12" t="inlineStr">
        <is>
          <t>Provides timely visibility for agent design and reduces manual lookup effort.</t>
        </is>
      </c>
      <c r="N383" s="12" t="inlineStr">
        <is>
          <t>Authenticated user; active property; view permission for AI &amp; Automation; Integrations, Communications, PMS APIs data available.</t>
        </is>
      </c>
      <c r="O383" s="12" t="inlineStr">
        <is>
          <t>Given I am authenticated as AI Admin with access to the selected property, when I open AI Agent Builder,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83" s="12" t="inlineStr">
        <is>
          <t>Cross-property data never appears; unauthorized fields are masked; invalid filters do not break the screen; unavailable services return a controlled message.</t>
        </is>
      </c>
      <c r="Q383" s="12" t="inlineStr">
        <is>
          <t>Tenant/property scope; required fields; optimistic locking; timezone-safe dates; reason mandatory for overrides; least privilege; secret masking; versioning; change approval</t>
        </is>
      </c>
      <c r="R383" s="12" t="inlineStr">
        <is>
          <t>Integrations, Communications, PMS APIs</t>
        </is>
      </c>
      <c r="S383" s="12" t="inlineStr">
        <is>
          <t>GET, POST, PUT/PATCH, DELETE /api/v1/ai-agent-builder; lookup, validation and audit endpoints; idempotency for financial/booking writes; entities: ai_agents, prompts, knowledge_documents, tool_policies, call_transcripts</t>
        </is>
      </c>
      <c r="T383" s="12" t="inlineStr">
        <is>
          <t>Could Have</t>
        </is>
      </c>
      <c r="U383" s="12" t="inlineStr">
        <is>
          <t>Release 1.2</t>
        </is>
      </c>
      <c r="V383" s="34" t="n">
        <v>3</v>
      </c>
      <c r="W383" s="12" t="inlineStr">
        <is>
          <t>S23-S25</t>
        </is>
      </c>
      <c r="X383" s="12" t="inlineStr">
        <is>
          <t>Backlog</t>
        </is>
      </c>
      <c r="Y383" s="13">
        <f>IF(X383="Done",1,IF(X383="QA",0.9,IF(X383="Code Review",0.75,IF(X383="In Development",0.5,IF(X383="Ready",0.1,0)))))</f>
        <v/>
      </c>
      <c r="Z383" s="12" t="n"/>
      <c r="AA383" s="12" t="inlineStr">
        <is>
          <t>TC-127-A</t>
        </is>
      </c>
      <c r="AB383" s="12" t="inlineStr">
        <is>
          <t>Approved screen design; story reviewed with AI Admin; dependencies, API contract, role permissions and test data identified.</t>
        </is>
      </c>
      <c r="AC383" s="12" t="inlineStr">
        <is>
          <t>Code reviewed; unit, API, UI, RBAC and integration tests pass; accessibility and responsive states verified; audit evidence captured; product owner accepts in staging.</t>
        </is>
      </c>
      <c r="AD383" s="12" t="n"/>
    </row>
    <row r="384" ht="78" customHeight="1" s="43">
      <c r="A384" s="11" t="n">
        <v>3</v>
      </c>
      <c r="B384" s="11" t="n">
        <v>380</v>
      </c>
      <c r="C384" s="12" t="inlineStr">
        <is>
          <t>US-127-02</t>
        </is>
      </c>
      <c r="D384" s="12" t="inlineStr">
        <is>
          <t>Complete the primary AI Agent Builder workflow</t>
        </is>
      </c>
      <c r="E384" s="12" t="inlineStr">
        <is>
          <t>EPIC-23</t>
        </is>
      </c>
      <c r="F384" s="12" t="inlineStr">
        <is>
          <t>AI &amp; Automation</t>
        </is>
      </c>
      <c r="G384" s="12" t="inlineStr">
        <is>
          <t>Agent Design</t>
        </is>
      </c>
      <c r="H384" s="11" t="inlineStr">
        <is>
          <t>SCR-127</t>
        </is>
      </c>
      <c r="I384" s="12" t="inlineStr">
        <is>
          <t>AI Agent Builder</t>
        </is>
      </c>
      <c r="J384" s="12" t="inlineStr">
        <is>
          <t>Primary Workflow</t>
        </is>
      </c>
      <c r="K384" s="12" t="inlineStr">
        <is>
          <t>AI Admin</t>
        </is>
      </c>
      <c r="L384" s="12" t="inlineStr">
        <is>
          <t>As a AI Admin, I want to list, search, filter, view, create, edit, cancel/delete under policy, export in AI Agent Builder, so that the agent design process is completed accurately without duplicate or inconsistent records.</t>
        </is>
      </c>
      <c r="M384" s="12" t="inlineStr">
        <is>
          <t>Enable ai &amp; automation users to manage agent design through the AI Agent Builder workflow with real-time status, validations and traceability.</t>
        </is>
      </c>
      <c r="N384" s="12" t="inlineStr">
        <is>
          <t>View access confirmed; required masters and linked records exist; Integrations, Communications, PMS APIs services are available; approval limit is valid.</t>
        </is>
      </c>
      <c r="O38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ai agent builder workflow; invalid or conflicting actions are blocked with clear messages; saved changes appear in related screens; sensitive changes are auditable.</t>
        </is>
      </c>
      <c r="P384" s="12" t="inlineStr">
        <is>
          <t>Duplicate submission is idempotent; stale data returns a refresh/conflict message; invalid status transitions are blocked; partial failure rolls back without orphan records.</t>
        </is>
      </c>
      <c r="Q384" s="12" t="inlineStr">
        <is>
          <t>Tenant/property scope; required fields; optimistic locking; timezone-safe dates; reason mandatory for overrides; least privilege; secret masking; versioning; change approval</t>
        </is>
      </c>
      <c r="R384" s="12" t="inlineStr">
        <is>
          <t>Integrations, Communications, PMS APIs</t>
        </is>
      </c>
      <c r="S384" s="12" t="inlineStr">
        <is>
          <t>GET, POST, PUT/PATCH, DELETE /api/v1/ai-agent-builder; lookup, validation and audit endpoints; idempotency for financial/booking writes; entities: ai_agents, prompts, knowledge_documents, tool_policies, call_transcripts</t>
        </is>
      </c>
      <c r="T384" s="12" t="inlineStr">
        <is>
          <t>Could Have</t>
        </is>
      </c>
      <c r="U384" s="12" t="inlineStr">
        <is>
          <t>Release 1.2</t>
        </is>
      </c>
      <c r="V384" s="34" t="n">
        <v>8</v>
      </c>
      <c r="W384" s="12" t="inlineStr">
        <is>
          <t>S23-S25</t>
        </is>
      </c>
      <c r="X384" s="12" t="inlineStr">
        <is>
          <t>Backlog</t>
        </is>
      </c>
      <c r="Y384" s="13">
        <f>IF(X384="Done",1,IF(X384="QA",0.9,IF(X384="Code Review",0.75,IF(X384="In Development",0.5,IF(X384="Ready",0.1,0)))))</f>
        <v/>
      </c>
      <c r="Z384" s="12" t="n"/>
      <c r="AA384" s="12" t="inlineStr">
        <is>
          <t>TC-127-B</t>
        </is>
      </c>
      <c r="AB384" s="12" t="inlineStr">
        <is>
          <t>Approved screen design; story reviewed with AI Admin; dependencies, API contract, role permissions and test data identified.</t>
        </is>
      </c>
      <c r="AC384" s="12" t="inlineStr">
        <is>
          <t>Code reviewed; unit, API, UI, RBAC and integration tests pass; accessibility and responsive states verified; audit evidence captured; product owner accepts in staging.</t>
        </is>
      </c>
      <c r="AD384" s="12" t="n"/>
    </row>
    <row r="385" ht="78" customHeight="1" s="43">
      <c r="A385" s="11" t="n">
        <v>3</v>
      </c>
      <c r="B385" s="11" t="n">
        <v>381</v>
      </c>
      <c r="C385" s="12" t="inlineStr">
        <is>
          <t>US-127-03</t>
        </is>
      </c>
      <c r="D385" s="12" t="inlineStr">
        <is>
          <t>Control permissions, overrides and audit for AI Agent Builder</t>
        </is>
      </c>
      <c r="E385" s="12" t="inlineStr">
        <is>
          <t>EPIC-23</t>
        </is>
      </c>
      <c r="F385" s="12" t="inlineStr">
        <is>
          <t>AI &amp; Automation</t>
        </is>
      </c>
      <c r="G385" s="12" t="inlineStr">
        <is>
          <t>Agent Design</t>
        </is>
      </c>
      <c r="H385" s="11" t="inlineStr">
        <is>
          <t>SCR-127</t>
        </is>
      </c>
      <c r="I385" s="12" t="inlineStr">
        <is>
          <t>AI Agent Builder</t>
        </is>
      </c>
      <c r="J385" s="12" t="inlineStr">
        <is>
          <t>Security / Exceptions</t>
        </is>
      </c>
      <c r="K385" s="12" t="inlineStr">
        <is>
          <t>AI Admin</t>
        </is>
      </c>
      <c r="L385" s="12" t="inlineStr">
        <is>
          <t>As a department supervisor or auditor, I want sensitive actions in AI Agent Builder to follow permissions, approval limits and audit rules, so that resort operations remain secure, compliant and traceable.</t>
        </is>
      </c>
      <c r="M385" s="12" t="inlineStr">
        <is>
          <t>Reduces fraud, privacy leakage, unauthorized overrides and unresolved operational disputes.</t>
        </is>
      </c>
      <c r="N385" s="12" t="inlineStr">
        <is>
          <t>Roles, permissions, approval hierarchy and audit service are configured; allowed and denied test users exist.</t>
        </is>
      </c>
      <c r="O38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85" s="12" t="inlineStr">
        <is>
          <t>Tampered IDs, expired sessions, approval-limit violations and cross-tenant requests are rejected; secrets and sensitive guest/payment fields are never written to logs.</t>
        </is>
      </c>
      <c r="Q385" s="12" t="inlineStr">
        <is>
          <t>Tenant/property scope; required fields; optimistic locking; timezone-safe dates; reason mandatory for overrides; least privilege; secret masking; versioning; change approval</t>
        </is>
      </c>
      <c r="R385" s="12" t="inlineStr">
        <is>
          <t>Integrations, Communications, PMS APIs</t>
        </is>
      </c>
      <c r="S385" s="12" t="inlineStr">
        <is>
          <t>GET, POST, PUT/PATCH, DELETE /api/v1/ai-agent-builder; lookup, validation and audit endpoints; idempotency for financial/booking writes; entities: ai_agents, prompts, knowledge_documents, tool_policies, call_transcripts</t>
        </is>
      </c>
      <c r="T385" s="12" t="inlineStr">
        <is>
          <t>Could Have</t>
        </is>
      </c>
      <c r="U385" s="12" t="inlineStr">
        <is>
          <t>Release 1.2</t>
        </is>
      </c>
      <c r="V385" s="34" t="n">
        <v>5</v>
      </c>
      <c r="W385" s="12" t="inlineStr">
        <is>
          <t>S23-S25</t>
        </is>
      </c>
      <c r="X385" s="12" t="inlineStr">
        <is>
          <t>Backlog</t>
        </is>
      </c>
      <c r="Y385" s="13">
        <f>IF(X385="Done",1,IF(X385="QA",0.9,IF(X385="Code Review",0.75,IF(X385="In Development",0.5,IF(X385="Ready",0.1,0)))))</f>
        <v/>
      </c>
      <c r="Z385" s="12" t="n"/>
      <c r="AA385" s="12" t="inlineStr">
        <is>
          <t>TC-127-C</t>
        </is>
      </c>
      <c r="AB385" s="12" t="inlineStr">
        <is>
          <t>Approved screen design; story reviewed with AI Admin; dependencies, API contract, role permissions and test data identified.</t>
        </is>
      </c>
      <c r="AC385" s="12" t="inlineStr">
        <is>
          <t>Code reviewed; unit, API, UI, RBAC and integration tests pass; accessibility and responsive states verified; audit evidence captured; product owner accepts in staging.</t>
        </is>
      </c>
      <c r="AD385" s="12" t="n"/>
    </row>
    <row r="386" ht="78" customHeight="1" s="43">
      <c r="A386" s="11" t="n">
        <v>3</v>
      </c>
      <c r="B386" s="11" t="n">
        <v>382</v>
      </c>
      <c r="C386" s="12" t="inlineStr">
        <is>
          <t>US-128-01</t>
        </is>
      </c>
      <c r="D386" s="12" t="inlineStr">
        <is>
          <t>View and find information in AI Test Call and Transcript</t>
        </is>
      </c>
      <c r="E386" s="12" t="inlineStr">
        <is>
          <t>EPIC-23</t>
        </is>
      </c>
      <c r="F386" s="12" t="inlineStr">
        <is>
          <t>AI &amp; Automation</t>
        </is>
      </c>
      <c r="G386" s="12" t="inlineStr">
        <is>
          <t>Agent Testing</t>
        </is>
      </c>
      <c r="H386" s="11" t="inlineStr">
        <is>
          <t>SCR-128</t>
        </is>
      </c>
      <c r="I386" s="12" t="inlineStr">
        <is>
          <t>AI Test Call and Transcript</t>
        </is>
      </c>
      <c r="J386" s="12" t="inlineStr">
        <is>
          <t>View / Search</t>
        </is>
      </c>
      <c r="K386" s="12" t="inlineStr">
        <is>
          <t>AI Admin</t>
        </is>
      </c>
      <c r="L386" s="12" t="inlineStr">
        <is>
          <t>As a AI Admin, I want to open AI Test Call and Transcript and find relevant records using search, filters and sorting, so that I can make accurate operational decisions.</t>
        </is>
      </c>
      <c r="M386" s="12" t="inlineStr">
        <is>
          <t>Provides timely visibility for agent testing and reduces manual lookup effort.</t>
        </is>
      </c>
      <c r="N386" s="12" t="inlineStr">
        <is>
          <t>Authenticated user; active property; view permission for AI &amp; Automation; Integrations, Communications, PMS APIs data available.</t>
        </is>
      </c>
      <c r="O386" s="12" t="inlineStr">
        <is>
          <t>Given I am authenticated as AI Admin with access to the selected property, when I open AI Test Call and Transcript,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86" s="12" t="inlineStr">
        <is>
          <t>Cross-property data never appears; unauthorized fields are masked; invalid filters do not break the screen; unavailable services return a controlled message.</t>
        </is>
      </c>
      <c r="Q386" s="12" t="inlineStr">
        <is>
          <t>Tenant/property scope; required fields; optimistic locking; timezone-safe dates; reason mandatory for overrides; least privilege; secret masking; versioning; change approval</t>
        </is>
      </c>
      <c r="R386" s="12" t="inlineStr">
        <is>
          <t>Integrations, Communications, PMS APIs</t>
        </is>
      </c>
      <c r="S386" s="12" t="inlineStr">
        <is>
          <t>GET, POST, PUT/PATCH, DELETE /api/v1/ai-test-call-and-transcript; lookup, validation and audit endpoints; idempotency for financial/booking writes; entities: ai_agents, prompts, knowledge_documents, tool_policies, call_transcripts</t>
        </is>
      </c>
      <c r="T386" s="12" t="inlineStr">
        <is>
          <t>Could Have</t>
        </is>
      </c>
      <c r="U386" s="12" t="inlineStr">
        <is>
          <t>Release 1.2</t>
        </is>
      </c>
      <c r="V386" s="34" t="n">
        <v>3</v>
      </c>
      <c r="W386" s="12" t="inlineStr">
        <is>
          <t>S23-S25</t>
        </is>
      </c>
      <c r="X386" s="12" t="inlineStr">
        <is>
          <t>Backlog</t>
        </is>
      </c>
      <c r="Y386" s="13">
        <f>IF(X386="Done",1,IF(X386="QA",0.9,IF(X386="Code Review",0.75,IF(X386="In Development",0.5,IF(X386="Ready",0.1,0)))))</f>
        <v/>
      </c>
      <c r="Z386" s="12" t="n"/>
      <c r="AA386" s="12" t="inlineStr">
        <is>
          <t>TC-128-A</t>
        </is>
      </c>
      <c r="AB386" s="12" t="inlineStr">
        <is>
          <t>Approved screen design; story reviewed with AI Admin; dependencies, API contract, role permissions and test data identified.</t>
        </is>
      </c>
      <c r="AC386" s="12" t="inlineStr">
        <is>
          <t>Code reviewed; unit, API, UI, RBAC and integration tests pass; accessibility and responsive states verified; audit evidence captured; product owner accepts in staging.</t>
        </is>
      </c>
      <c r="AD386" s="12" t="n"/>
    </row>
    <row r="387" ht="78" customHeight="1" s="43">
      <c r="A387" s="11" t="n">
        <v>3</v>
      </c>
      <c r="B387" s="11" t="n">
        <v>383</v>
      </c>
      <c r="C387" s="12" t="inlineStr">
        <is>
          <t>US-128-02</t>
        </is>
      </c>
      <c r="D387" s="12" t="inlineStr">
        <is>
          <t>Complete the primary AI Test Call and Transcript workflow</t>
        </is>
      </c>
      <c r="E387" s="12" t="inlineStr">
        <is>
          <t>EPIC-23</t>
        </is>
      </c>
      <c r="F387" s="12" t="inlineStr">
        <is>
          <t>AI &amp; Automation</t>
        </is>
      </c>
      <c r="G387" s="12" t="inlineStr">
        <is>
          <t>Agent Testing</t>
        </is>
      </c>
      <c r="H387" s="11" t="inlineStr">
        <is>
          <t>SCR-128</t>
        </is>
      </c>
      <c r="I387" s="12" t="inlineStr">
        <is>
          <t>AI Test Call and Transcript</t>
        </is>
      </c>
      <c r="J387" s="12" t="inlineStr">
        <is>
          <t>Primary Workflow</t>
        </is>
      </c>
      <c r="K387" s="12" t="inlineStr">
        <is>
          <t>AI Admin</t>
        </is>
      </c>
      <c r="L387" s="12" t="inlineStr">
        <is>
          <t>As a AI Admin, I want to list, search, filter, view, create, edit, cancel/delete under policy, export in AI Test Call and Transcript, so that the agent testing process is completed accurately without duplicate or inconsistent records.</t>
        </is>
      </c>
      <c r="M387" s="12" t="inlineStr">
        <is>
          <t>Enable ai &amp; automation users to manage agent testing through the AI Test Call and Transcript workflow with real-time status, validations and traceability.</t>
        </is>
      </c>
      <c r="N387" s="12" t="inlineStr">
        <is>
          <t>View access confirmed; required masters and linked records exist; Integrations, Communications, PMS APIs services are available; approval limit is valid.</t>
        </is>
      </c>
      <c r="O38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ai test call and transcript workflow; invalid or conflicting actions are blocked with clear messages; saved changes appear in related screens; sensitive changes are auditable.</t>
        </is>
      </c>
      <c r="P387" s="12" t="inlineStr">
        <is>
          <t>Duplicate submission is idempotent; stale data returns a refresh/conflict message; invalid status transitions are blocked; partial failure rolls back without orphan records.</t>
        </is>
      </c>
      <c r="Q387" s="12" t="inlineStr">
        <is>
          <t>Tenant/property scope; required fields; optimistic locking; timezone-safe dates; reason mandatory for overrides; least privilege; secret masking; versioning; change approval</t>
        </is>
      </c>
      <c r="R387" s="12" t="inlineStr">
        <is>
          <t>Integrations, Communications, PMS APIs</t>
        </is>
      </c>
      <c r="S387" s="12" t="inlineStr">
        <is>
          <t>GET, POST, PUT/PATCH, DELETE /api/v1/ai-test-call-and-transcript; lookup, validation and audit endpoints; idempotency for financial/booking writes; entities: ai_agents, prompts, knowledge_documents, tool_policies, call_transcripts</t>
        </is>
      </c>
      <c r="T387" s="12" t="inlineStr">
        <is>
          <t>Could Have</t>
        </is>
      </c>
      <c r="U387" s="12" t="inlineStr">
        <is>
          <t>Release 1.2</t>
        </is>
      </c>
      <c r="V387" s="34" t="n">
        <v>8</v>
      </c>
      <c r="W387" s="12" t="inlineStr">
        <is>
          <t>S23-S25</t>
        </is>
      </c>
      <c r="X387" s="12" t="inlineStr">
        <is>
          <t>Backlog</t>
        </is>
      </c>
      <c r="Y387" s="13">
        <f>IF(X387="Done",1,IF(X387="QA",0.9,IF(X387="Code Review",0.75,IF(X387="In Development",0.5,IF(X387="Ready",0.1,0)))))</f>
        <v/>
      </c>
      <c r="Z387" s="12" t="n"/>
      <c r="AA387" s="12" t="inlineStr">
        <is>
          <t>TC-128-B</t>
        </is>
      </c>
      <c r="AB387" s="12" t="inlineStr">
        <is>
          <t>Approved screen design; story reviewed with AI Admin; dependencies, API contract, role permissions and test data identified.</t>
        </is>
      </c>
      <c r="AC387" s="12" t="inlineStr">
        <is>
          <t>Code reviewed; unit, API, UI, RBAC and integration tests pass; accessibility and responsive states verified; audit evidence captured; product owner accepts in staging.</t>
        </is>
      </c>
      <c r="AD387" s="12" t="n"/>
    </row>
    <row r="388" ht="78" customHeight="1" s="43">
      <c r="A388" s="11" t="n">
        <v>3</v>
      </c>
      <c r="B388" s="11" t="n">
        <v>384</v>
      </c>
      <c r="C388" s="12" t="inlineStr">
        <is>
          <t>US-128-03</t>
        </is>
      </c>
      <c r="D388" s="12" t="inlineStr">
        <is>
          <t>Control permissions, overrides and audit for AI Test Call and Transcript</t>
        </is>
      </c>
      <c r="E388" s="12" t="inlineStr">
        <is>
          <t>EPIC-23</t>
        </is>
      </c>
      <c r="F388" s="12" t="inlineStr">
        <is>
          <t>AI &amp; Automation</t>
        </is>
      </c>
      <c r="G388" s="12" t="inlineStr">
        <is>
          <t>Agent Testing</t>
        </is>
      </c>
      <c r="H388" s="11" t="inlineStr">
        <is>
          <t>SCR-128</t>
        </is>
      </c>
      <c r="I388" s="12" t="inlineStr">
        <is>
          <t>AI Test Call and Transcript</t>
        </is>
      </c>
      <c r="J388" s="12" t="inlineStr">
        <is>
          <t>Security / Exceptions</t>
        </is>
      </c>
      <c r="K388" s="12" t="inlineStr">
        <is>
          <t>AI Admin</t>
        </is>
      </c>
      <c r="L388" s="12" t="inlineStr">
        <is>
          <t>As a department supervisor or auditor, I want sensitive actions in AI Test Call and Transcript to follow permissions, approval limits and audit rules, so that resort operations remain secure, compliant and traceable.</t>
        </is>
      </c>
      <c r="M388" s="12" t="inlineStr">
        <is>
          <t>Reduces fraud, privacy leakage, unauthorized overrides and unresolved operational disputes.</t>
        </is>
      </c>
      <c r="N388" s="12" t="inlineStr">
        <is>
          <t>Roles, permissions, approval hierarchy and audit service are configured; allowed and denied test users exist.</t>
        </is>
      </c>
      <c r="O38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88" s="12" t="inlineStr">
        <is>
          <t>Tampered IDs, expired sessions, approval-limit violations and cross-tenant requests are rejected; secrets and sensitive guest/payment fields are never written to logs.</t>
        </is>
      </c>
      <c r="Q388" s="12" t="inlineStr">
        <is>
          <t>Tenant/property scope; required fields; optimistic locking; timezone-safe dates; reason mandatory for overrides; least privilege; secret masking; versioning; change approval</t>
        </is>
      </c>
      <c r="R388" s="12" t="inlineStr">
        <is>
          <t>Integrations, Communications, PMS APIs</t>
        </is>
      </c>
      <c r="S388" s="12" t="inlineStr">
        <is>
          <t>GET, POST, PUT/PATCH, DELETE /api/v1/ai-test-call-and-transcript; lookup, validation and audit endpoints; idempotency for financial/booking writes; entities: ai_agents, prompts, knowledge_documents, tool_policies, call_transcripts</t>
        </is>
      </c>
      <c r="T388" s="12" t="inlineStr">
        <is>
          <t>Could Have</t>
        </is>
      </c>
      <c r="U388" s="12" t="inlineStr">
        <is>
          <t>Release 1.2</t>
        </is>
      </c>
      <c r="V388" s="34" t="n">
        <v>5</v>
      </c>
      <c r="W388" s="12" t="inlineStr">
        <is>
          <t>S23-S25</t>
        </is>
      </c>
      <c r="X388" s="12" t="inlineStr">
        <is>
          <t>Backlog</t>
        </is>
      </c>
      <c r="Y388" s="13">
        <f>IF(X388="Done",1,IF(X388="QA",0.9,IF(X388="Code Review",0.75,IF(X388="In Development",0.5,IF(X388="Ready",0.1,0)))))</f>
        <v/>
      </c>
      <c r="Z388" s="12" t="n"/>
      <c r="AA388" s="12" t="inlineStr">
        <is>
          <t>TC-128-C</t>
        </is>
      </c>
      <c r="AB388" s="12" t="inlineStr">
        <is>
          <t>Approved screen design; story reviewed with AI Admin; dependencies, API contract, role permissions and test data identified.</t>
        </is>
      </c>
      <c r="AC388" s="12" t="inlineStr">
        <is>
          <t>Code reviewed; unit, API, UI, RBAC and integration tests pass; accessibility and responsive states verified; audit evidence captured; product owner accepts in staging.</t>
        </is>
      </c>
      <c r="AD388" s="12" t="n"/>
    </row>
    <row r="389" ht="78" customHeight="1" s="43">
      <c r="A389" s="11" t="n">
        <v>3</v>
      </c>
      <c r="B389" s="11" t="n">
        <v>385</v>
      </c>
      <c r="C389" s="12" t="inlineStr">
        <is>
          <t>US-129-01</t>
        </is>
      </c>
      <c r="D389" s="12" t="inlineStr">
        <is>
          <t>View and find information in AI Knowledge Document Manager</t>
        </is>
      </c>
      <c r="E389" s="12" t="inlineStr">
        <is>
          <t>EPIC-23</t>
        </is>
      </c>
      <c r="F389" s="12" t="inlineStr">
        <is>
          <t>AI &amp; Automation</t>
        </is>
      </c>
      <c r="G389" s="12" t="inlineStr">
        <is>
          <t>Knowledge Management</t>
        </is>
      </c>
      <c r="H389" s="11" t="inlineStr">
        <is>
          <t>SCR-129</t>
        </is>
      </c>
      <c r="I389" s="12" t="inlineStr">
        <is>
          <t>AI Knowledge Document Manager</t>
        </is>
      </c>
      <c r="J389" s="12" t="inlineStr">
        <is>
          <t>View / Search</t>
        </is>
      </c>
      <c r="K389" s="12" t="inlineStr">
        <is>
          <t>AI Admin</t>
        </is>
      </c>
      <c r="L389" s="12" t="inlineStr">
        <is>
          <t>As a AI Admin, I want to open AI Knowledge Document Manager and find relevant records using search, filters and sorting, so that I can make accurate operational decisions.</t>
        </is>
      </c>
      <c r="M389" s="12" t="inlineStr">
        <is>
          <t>Provides timely visibility for knowledge management and reduces manual lookup effort.</t>
        </is>
      </c>
      <c r="N389" s="12" t="inlineStr">
        <is>
          <t>Authenticated user; active property; view permission for AI &amp; Automation; Integrations, Communications, PMS APIs data available.</t>
        </is>
      </c>
      <c r="O389" s="12" t="inlineStr">
        <is>
          <t>Given I am authenticated as AI Admin with access to the selected property, when I open AI Knowledge Document Manager,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89" s="12" t="inlineStr">
        <is>
          <t>Cross-property data never appears; unauthorized fields are masked; invalid filters do not break the screen; unavailable services return a controlled message.</t>
        </is>
      </c>
      <c r="Q389" s="12" t="inlineStr">
        <is>
          <t>Tenant/property scope; required fields; optimistic locking; timezone-safe dates; reason mandatory for overrides; least privilege; secret masking; versioning; change approval</t>
        </is>
      </c>
      <c r="R389" s="12" t="inlineStr">
        <is>
          <t>Integrations, Communications, PMS APIs</t>
        </is>
      </c>
      <c r="S389" s="12" t="inlineStr">
        <is>
          <t>GET, POST, PUT/PATCH, DELETE /api/v1/ai-knowledge-document-manager; lookup, validation and audit endpoints; idempotency for financial/booking writes; entities: ai_agents, prompts, knowledge_documents, tool_policies, call_transcripts</t>
        </is>
      </c>
      <c r="T389" s="12" t="inlineStr">
        <is>
          <t>Could Have</t>
        </is>
      </c>
      <c r="U389" s="12" t="inlineStr">
        <is>
          <t>Release 1.2</t>
        </is>
      </c>
      <c r="V389" s="34" t="n">
        <v>3</v>
      </c>
      <c r="W389" s="12" t="inlineStr">
        <is>
          <t>S23-S25</t>
        </is>
      </c>
      <c r="X389" s="12" t="inlineStr">
        <is>
          <t>Backlog</t>
        </is>
      </c>
      <c r="Y389" s="13">
        <f>IF(X389="Done",1,IF(X389="QA",0.9,IF(X389="Code Review",0.75,IF(X389="In Development",0.5,IF(X389="Ready",0.1,0)))))</f>
        <v/>
      </c>
      <c r="Z389" s="12" t="n"/>
      <c r="AA389" s="12" t="inlineStr">
        <is>
          <t>TC-129-A</t>
        </is>
      </c>
      <c r="AB389" s="12" t="inlineStr">
        <is>
          <t>Approved screen design; story reviewed with AI Admin; dependencies, API contract, role permissions and test data identified.</t>
        </is>
      </c>
      <c r="AC389" s="12" t="inlineStr">
        <is>
          <t>Code reviewed; unit, API, UI, RBAC and integration tests pass; accessibility and responsive states verified; audit evidence captured; product owner accepts in staging.</t>
        </is>
      </c>
      <c r="AD389" s="12" t="n"/>
    </row>
    <row r="390" ht="78" customHeight="1" s="43">
      <c r="A390" s="11" t="n">
        <v>3</v>
      </c>
      <c r="B390" s="11" t="n">
        <v>386</v>
      </c>
      <c r="C390" s="12" t="inlineStr">
        <is>
          <t>US-129-02</t>
        </is>
      </c>
      <c r="D390" s="12" t="inlineStr">
        <is>
          <t>Complete the primary AI Knowledge Document Manager workflow</t>
        </is>
      </c>
      <c r="E390" s="12" t="inlineStr">
        <is>
          <t>EPIC-23</t>
        </is>
      </c>
      <c r="F390" s="12" t="inlineStr">
        <is>
          <t>AI &amp; Automation</t>
        </is>
      </c>
      <c r="G390" s="12" t="inlineStr">
        <is>
          <t>Knowledge Management</t>
        </is>
      </c>
      <c r="H390" s="11" t="inlineStr">
        <is>
          <t>SCR-129</t>
        </is>
      </c>
      <c r="I390" s="12" t="inlineStr">
        <is>
          <t>AI Knowledge Document Manager</t>
        </is>
      </c>
      <c r="J390" s="12" t="inlineStr">
        <is>
          <t>Primary Workflow</t>
        </is>
      </c>
      <c r="K390" s="12" t="inlineStr">
        <is>
          <t>AI Admin</t>
        </is>
      </c>
      <c r="L390" s="12" t="inlineStr">
        <is>
          <t>As a AI Admin, I want to list, search, filter, view, create, edit, cancel/delete under policy, export in AI Knowledge Document Manager, so that the knowledge management process is completed accurately without duplicate or inconsistent records.</t>
        </is>
      </c>
      <c r="M390" s="12" t="inlineStr">
        <is>
          <t>Enable ai &amp; automation users to manage knowledge management through the AI Knowledge Document Manager workflow with real-time status, validations and traceability.</t>
        </is>
      </c>
      <c r="N390" s="12" t="inlineStr">
        <is>
          <t>View access confirmed; required masters and linked records exist; Integrations, Communications, PMS APIs services are available; approval limit is valid.</t>
        </is>
      </c>
      <c r="O39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ai knowledge document manager workflow; invalid or conflicting actions are blocked with clear messages; saved changes appear in related screens; sensitive changes are auditable.</t>
        </is>
      </c>
      <c r="P390" s="12" t="inlineStr">
        <is>
          <t>Duplicate submission is idempotent; stale data returns a refresh/conflict message; invalid status transitions are blocked; partial failure rolls back without orphan records.</t>
        </is>
      </c>
      <c r="Q390" s="12" t="inlineStr">
        <is>
          <t>Tenant/property scope; required fields; optimistic locking; timezone-safe dates; reason mandatory for overrides; least privilege; secret masking; versioning; change approval</t>
        </is>
      </c>
      <c r="R390" s="12" t="inlineStr">
        <is>
          <t>Integrations, Communications, PMS APIs</t>
        </is>
      </c>
      <c r="S390" s="12" t="inlineStr">
        <is>
          <t>GET, POST, PUT/PATCH, DELETE /api/v1/ai-knowledge-document-manager; lookup, validation and audit endpoints; idempotency for financial/booking writes; entities: ai_agents, prompts, knowledge_documents, tool_policies, call_transcripts</t>
        </is>
      </c>
      <c r="T390" s="12" t="inlineStr">
        <is>
          <t>Could Have</t>
        </is>
      </c>
      <c r="U390" s="12" t="inlineStr">
        <is>
          <t>Release 1.2</t>
        </is>
      </c>
      <c r="V390" s="34" t="n">
        <v>8</v>
      </c>
      <c r="W390" s="12" t="inlineStr">
        <is>
          <t>S23-S25</t>
        </is>
      </c>
      <c r="X390" s="12" t="inlineStr">
        <is>
          <t>Backlog</t>
        </is>
      </c>
      <c r="Y390" s="13">
        <f>IF(X390="Done",1,IF(X390="QA",0.9,IF(X390="Code Review",0.75,IF(X390="In Development",0.5,IF(X390="Ready",0.1,0)))))</f>
        <v/>
      </c>
      <c r="Z390" s="12" t="n"/>
      <c r="AA390" s="12" t="inlineStr">
        <is>
          <t>TC-129-B</t>
        </is>
      </c>
      <c r="AB390" s="12" t="inlineStr">
        <is>
          <t>Approved screen design; story reviewed with AI Admin; dependencies, API contract, role permissions and test data identified.</t>
        </is>
      </c>
      <c r="AC390" s="12" t="inlineStr">
        <is>
          <t>Code reviewed; unit, API, UI, RBAC and integration tests pass; accessibility and responsive states verified; audit evidence captured; product owner accepts in staging.</t>
        </is>
      </c>
      <c r="AD390" s="12" t="n"/>
    </row>
    <row r="391" ht="78" customHeight="1" s="43">
      <c r="A391" s="11" t="n">
        <v>3</v>
      </c>
      <c r="B391" s="11" t="n">
        <v>387</v>
      </c>
      <c r="C391" s="12" t="inlineStr">
        <is>
          <t>US-129-03</t>
        </is>
      </c>
      <c r="D391" s="12" t="inlineStr">
        <is>
          <t>Control permissions, overrides and audit for AI Knowledge Document Manager</t>
        </is>
      </c>
      <c r="E391" s="12" t="inlineStr">
        <is>
          <t>EPIC-23</t>
        </is>
      </c>
      <c r="F391" s="12" t="inlineStr">
        <is>
          <t>AI &amp; Automation</t>
        </is>
      </c>
      <c r="G391" s="12" t="inlineStr">
        <is>
          <t>Knowledge Management</t>
        </is>
      </c>
      <c r="H391" s="11" t="inlineStr">
        <is>
          <t>SCR-129</t>
        </is>
      </c>
      <c r="I391" s="12" t="inlineStr">
        <is>
          <t>AI Knowledge Document Manager</t>
        </is>
      </c>
      <c r="J391" s="12" t="inlineStr">
        <is>
          <t>Security / Exceptions</t>
        </is>
      </c>
      <c r="K391" s="12" t="inlineStr">
        <is>
          <t>AI Admin</t>
        </is>
      </c>
      <c r="L391" s="12" t="inlineStr">
        <is>
          <t>As a department supervisor or auditor, I want sensitive actions in AI Knowledge Document Manager to follow permissions, approval limits and audit rules, so that resort operations remain secure, compliant and traceable.</t>
        </is>
      </c>
      <c r="M391" s="12" t="inlineStr">
        <is>
          <t>Reduces fraud, privacy leakage, unauthorized overrides and unresolved operational disputes.</t>
        </is>
      </c>
      <c r="N391" s="12" t="inlineStr">
        <is>
          <t>Roles, permissions, approval hierarchy and audit service are configured; allowed and denied test users exist.</t>
        </is>
      </c>
      <c r="O39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91" s="12" t="inlineStr">
        <is>
          <t>Tampered IDs, expired sessions, approval-limit violations and cross-tenant requests are rejected; secrets and sensitive guest/payment fields are never written to logs.</t>
        </is>
      </c>
      <c r="Q391" s="12" t="inlineStr">
        <is>
          <t>Tenant/property scope; required fields; optimistic locking; timezone-safe dates; reason mandatory for overrides; least privilege; secret masking; versioning; change approval</t>
        </is>
      </c>
      <c r="R391" s="12" t="inlineStr">
        <is>
          <t>Integrations, Communications, PMS APIs</t>
        </is>
      </c>
      <c r="S391" s="12" t="inlineStr">
        <is>
          <t>GET, POST, PUT/PATCH, DELETE /api/v1/ai-knowledge-document-manager; lookup, validation and audit endpoints; idempotency for financial/booking writes; entities: ai_agents, prompts, knowledge_documents, tool_policies, call_transcripts</t>
        </is>
      </c>
      <c r="T391" s="12" t="inlineStr">
        <is>
          <t>Could Have</t>
        </is>
      </c>
      <c r="U391" s="12" t="inlineStr">
        <is>
          <t>Release 1.2</t>
        </is>
      </c>
      <c r="V391" s="34" t="n">
        <v>5</v>
      </c>
      <c r="W391" s="12" t="inlineStr">
        <is>
          <t>S23-S25</t>
        </is>
      </c>
      <c r="X391" s="12" t="inlineStr">
        <is>
          <t>Backlog</t>
        </is>
      </c>
      <c r="Y391" s="13">
        <f>IF(X391="Done",1,IF(X391="QA",0.9,IF(X391="Code Review",0.75,IF(X391="In Development",0.5,IF(X391="Ready",0.1,0)))))</f>
        <v/>
      </c>
      <c r="Z391" s="12" t="n"/>
      <c r="AA391" s="12" t="inlineStr">
        <is>
          <t>TC-129-C</t>
        </is>
      </c>
      <c r="AB391" s="12" t="inlineStr">
        <is>
          <t>Approved screen design; story reviewed with AI Admin; dependencies, API contract, role permissions and test data identified.</t>
        </is>
      </c>
      <c r="AC391" s="12" t="inlineStr">
        <is>
          <t>Code reviewed; unit, API, UI, RBAC and integration tests pass; accessibility and responsive states verified; audit evidence captured; product owner accepts in staging.</t>
        </is>
      </c>
      <c r="AD391" s="12" t="n"/>
    </row>
    <row r="392" ht="78" customHeight="1" s="43">
      <c r="A392" s="11" t="n">
        <v>3</v>
      </c>
      <c r="B392" s="11" t="n">
        <v>388</v>
      </c>
      <c r="C392" s="12" t="inlineStr">
        <is>
          <t>US-130-01</t>
        </is>
      </c>
      <c r="D392" s="12" t="inlineStr">
        <is>
          <t>View and find information in Portal Booking Management</t>
        </is>
      </c>
      <c r="E392" s="12" t="inlineStr">
        <is>
          <t>EPIC-26</t>
        </is>
      </c>
      <c r="F392" s="12" t="inlineStr">
        <is>
          <t>Partner Portal</t>
        </is>
      </c>
      <c r="G392" s="12" t="inlineStr">
        <is>
          <t>Portal Operations</t>
        </is>
      </c>
      <c r="H392" s="11" t="inlineStr">
        <is>
          <t>SCR-130</t>
        </is>
      </c>
      <c r="I392" s="12" t="inlineStr">
        <is>
          <t>Portal Booking Management</t>
        </is>
      </c>
      <c r="J392" s="12" t="inlineStr">
        <is>
          <t>View / Search</t>
        </is>
      </c>
      <c r="K392" s="12" t="inlineStr">
        <is>
          <t>Travel Agent</t>
        </is>
      </c>
      <c r="L392" s="12" t="inlineStr">
        <is>
          <t>As a Travel Agent, I want to open Portal Booking Management and find relevant records using search, filters and sorting, so that I can make accurate operational decisions.</t>
        </is>
      </c>
      <c r="M392" s="12" t="inlineStr">
        <is>
          <t>Provides timely visibility for portal operations and reduces manual lookup effort.</t>
        </is>
      </c>
      <c r="N392" s="12" t="inlineStr">
        <is>
          <t>Authenticated user; active property; view permission for Partner Portal; Reservations, Rates, Finance data available.</t>
        </is>
      </c>
      <c r="O392" s="12" t="inlineStr">
        <is>
          <t>Given I am authenticated as Travel Agent with access to the selected property, when I open Portal Booking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92" s="12" t="inlineStr">
        <is>
          <t>Cross-property data never appears; unauthorized fields are masked; invalid filters do not break the screen; unavailable services return a controlled message.</t>
        </is>
      </c>
      <c r="Q392" s="12" t="inlineStr">
        <is>
          <t>Tenant/property scope; required fields; optimistic locking; timezone-safe dates; reason mandatory for overrides; valid status transition; linked-record integrity</t>
        </is>
      </c>
      <c r="R392" s="12" t="inlineStr">
        <is>
          <t>Reservations, Rates, Finance</t>
        </is>
      </c>
      <c r="S392" s="12" t="inlineStr">
        <is>
          <t>GET, POST, PUT/PATCH, DELETE /api/v1/portal-booking-management; lookup, validation and audit endpoints; idempotency for financial/booking writes; entities: partner_accounts, portal_bookings, commissions</t>
        </is>
      </c>
      <c r="T392" s="12" t="inlineStr">
        <is>
          <t>Could Have</t>
        </is>
      </c>
      <c r="U392" s="12" t="inlineStr">
        <is>
          <t>Release 1.2</t>
        </is>
      </c>
      <c r="V392" s="34" t="n">
        <v>3</v>
      </c>
      <c r="W392" s="12" t="inlineStr">
        <is>
          <t>S23-S25</t>
        </is>
      </c>
      <c r="X392" s="12" t="inlineStr">
        <is>
          <t>Backlog</t>
        </is>
      </c>
      <c r="Y392" s="13">
        <f>IF(X392="Done",1,IF(X392="QA",0.9,IF(X392="Code Review",0.75,IF(X392="In Development",0.5,IF(X392="Ready",0.1,0)))))</f>
        <v/>
      </c>
      <c r="Z392" s="12" t="n"/>
      <c r="AA392" s="12" t="inlineStr">
        <is>
          <t>TC-130-A</t>
        </is>
      </c>
      <c r="AB392" s="12" t="inlineStr">
        <is>
          <t>Approved screen design; story reviewed with Travel Agent; dependencies, API contract, role permissions and test data identified.</t>
        </is>
      </c>
      <c r="AC392" s="12" t="inlineStr">
        <is>
          <t>Code reviewed; unit, API, UI, RBAC and integration tests pass; accessibility and responsive states verified; audit evidence captured; product owner accepts in staging.</t>
        </is>
      </c>
      <c r="AD392" s="12" t="n"/>
    </row>
    <row r="393" ht="78" customHeight="1" s="43">
      <c r="A393" s="11" t="n">
        <v>3</v>
      </c>
      <c r="B393" s="11" t="n">
        <v>389</v>
      </c>
      <c r="C393" s="12" t="inlineStr">
        <is>
          <t>US-130-02</t>
        </is>
      </c>
      <c r="D393" s="12" t="inlineStr">
        <is>
          <t>Complete the primary Portal Booking Management workflow</t>
        </is>
      </c>
      <c r="E393" s="12" t="inlineStr">
        <is>
          <t>EPIC-26</t>
        </is>
      </c>
      <c r="F393" s="12" t="inlineStr">
        <is>
          <t>Partner Portal</t>
        </is>
      </c>
      <c r="G393" s="12" t="inlineStr">
        <is>
          <t>Portal Operations</t>
        </is>
      </c>
      <c r="H393" s="11" t="inlineStr">
        <is>
          <t>SCR-130</t>
        </is>
      </c>
      <c r="I393" s="12" t="inlineStr">
        <is>
          <t>Portal Booking Management</t>
        </is>
      </c>
      <c r="J393" s="12" t="inlineStr">
        <is>
          <t>Primary Workflow</t>
        </is>
      </c>
      <c r="K393" s="12" t="inlineStr">
        <is>
          <t>Travel Agent</t>
        </is>
      </c>
      <c r="L393" s="12" t="inlineStr">
        <is>
          <t>As a Travel Agent, I want to list, view, create, edit, activate/deactivate, delete where safe in Portal Booking Management, so that the portal operations process is completed accurately without duplicate or inconsistent records.</t>
        </is>
      </c>
      <c r="M393" s="12" t="inlineStr">
        <is>
          <t>Enable partner portal users to manage portal operations through the Portal Booking Management workflow with real-time status, validations and traceability.</t>
        </is>
      </c>
      <c r="N393" s="12" t="inlineStr">
        <is>
          <t>View access confirmed; required masters and linked records exist; Reservations, Rates, Finance services are available; approval limit is valid.</t>
        </is>
      </c>
      <c r="O39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portal booking management workflow; invalid or conflicting actions are blocked with clear messages; saved changes appear in related screens; sensitive changes are auditable.</t>
        </is>
      </c>
      <c r="P393" s="12" t="inlineStr">
        <is>
          <t>Duplicate submission is idempotent; stale data returns a refresh/conflict message; invalid status transitions are blocked; partial failure rolls back without orphan records.</t>
        </is>
      </c>
      <c r="Q393" s="12" t="inlineStr">
        <is>
          <t>Tenant/property scope; required fields; optimistic locking; timezone-safe dates; reason mandatory for overrides; valid status transition; linked-record integrity</t>
        </is>
      </c>
      <c r="R393" s="12" t="inlineStr">
        <is>
          <t>Reservations, Rates, Finance</t>
        </is>
      </c>
      <c r="S393" s="12" t="inlineStr">
        <is>
          <t>GET, POST, PUT/PATCH, DELETE /api/v1/portal-booking-management; lookup, validation and audit endpoints; idempotency for financial/booking writes; entities: partner_accounts, portal_bookings, commissions</t>
        </is>
      </c>
      <c r="T393" s="12" t="inlineStr">
        <is>
          <t>Could Have</t>
        </is>
      </c>
      <c r="U393" s="12" t="inlineStr">
        <is>
          <t>Release 1.2</t>
        </is>
      </c>
      <c r="V393" s="34" t="n">
        <v>5</v>
      </c>
      <c r="W393" s="12" t="inlineStr">
        <is>
          <t>S23-S25</t>
        </is>
      </c>
      <c r="X393" s="12" t="inlineStr">
        <is>
          <t>Backlog</t>
        </is>
      </c>
      <c r="Y393" s="13">
        <f>IF(X393="Done",1,IF(X393="QA",0.9,IF(X393="Code Review",0.75,IF(X393="In Development",0.5,IF(X393="Ready",0.1,0)))))</f>
        <v/>
      </c>
      <c r="Z393" s="12" t="n"/>
      <c r="AA393" s="12" t="inlineStr">
        <is>
          <t>TC-130-B</t>
        </is>
      </c>
      <c r="AB393" s="12" t="inlineStr">
        <is>
          <t>Approved screen design; story reviewed with Travel Agent; dependencies, API contract, role permissions and test data identified.</t>
        </is>
      </c>
      <c r="AC393" s="12" t="inlineStr">
        <is>
          <t>Code reviewed; unit, API, UI, RBAC and integration tests pass; accessibility and responsive states verified; audit evidence captured; product owner accepts in staging.</t>
        </is>
      </c>
      <c r="AD393" s="12" t="n"/>
    </row>
    <row r="394" ht="78" customHeight="1" s="43">
      <c r="A394" s="32" t="n">
        <v>3</v>
      </c>
      <c r="B394" s="32" t="n">
        <v>390</v>
      </c>
      <c r="C394" s="30" t="inlineStr">
        <is>
          <t>US-130-03</t>
        </is>
      </c>
      <c r="D394" s="30" t="inlineStr">
        <is>
          <t>Control permissions, overrides and audit for Portal Booking Management</t>
        </is>
      </c>
      <c r="E394" s="30" t="inlineStr">
        <is>
          <t>EPIC-26</t>
        </is>
      </c>
      <c r="F394" s="30" t="inlineStr">
        <is>
          <t>Partner Portal</t>
        </is>
      </c>
      <c r="G394" s="30" t="inlineStr">
        <is>
          <t>Portal Operations</t>
        </is>
      </c>
      <c r="H394" s="32" t="inlineStr">
        <is>
          <t>SCR-130</t>
        </is>
      </c>
      <c r="I394" s="30" t="inlineStr">
        <is>
          <t>Portal Booking Management</t>
        </is>
      </c>
      <c r="J394" s="30" t="inlineStr">
        <is>
          <t>Security / Exceptions</t>
        </is>
      </c>
      <c r="K394" s="30" t="inlineStr">
        <is>
          <t>Travel Agent</t>
        </is>
      </c>
      <c r="L394" s="30" t="inlineStr">
        <is>
          <t>As a department supervisor or auditor, I want sensitive actions in Portal Booking Management to follow permissions, approval limits and audit rules, so that resort operations remain secure, compliant and traceable.</t>
        </is>
      </c>
      <c r="M394" s="30" t="inlineStr">
        <is>
          <t>Reduces fraud, privacy leakage, unauthorized overrides and unresolved operational disputes.</t>
        </is>
      </c>
      <c r="N394" s="30" t="inlineStr">
        <is>
          <t>Roles, permissions, approval hierarchy and audit service are configured; allowed and denied test users exist.</t>
        </is>
      </c>
      <c r="O394" s="30"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94" s="30" t="inlineStr">
        <is>
          <t>Tampered IDs, expired sessions, approval-limit violations and cross-tenant requests are rejected; secrets and sensitive guest/payment fields are never written to logs.</t>
        </is>
      </c>
      <c r="Q394" s="30" t="inlineStr">
        <is>
          <t>Tenant/property scope; required fields; optimistic locking; timezone-safe dates; reason mandatory for overrides; valid status transition; linked-record integrity</t>
        </is>
      </c>
      <c r="R394" s="30" t="inlineStr">
        <is>
          <t>Reservations, Rates, Finance</t>
        </is>
      </c>
      <c r="S394" s="30" t="inlineStr">
        <is>
          <t>GET, POST, PUT/PATCH, DELETE /api/v1/portal-booking-management; lookup, validation and audit endpoints; idempotency for financial/booking writes; entities: partner_accounts, portal_bookings, commissions</t>
        </is>
      </c>
      <c r="T394" s="30" t="inlineStr">
        <is>
          <t>Could Have</t>
        </is>
      </c>
      <c r="U394" s="30" t="inlineStr">
        <is>
          <t>Release 1.2</t>
        </is>
      </c>
      <c r="V394" s="35" t="n">
        <v>3</v>
      </c>
      <c r="W394" s="30" t="inlineStr">
        <is>
          <t>S23-S25</t>
        </is>
      </c>
      <c r="X394" s="30" t="inlineStr">
        <is>
          <t>Backlog</t>
        </is>
      </c>
      <c r="Y394" s="37">
        <f>IF(X394="Done",1,IF(X394="QA",0.9,IF(X394="Code Review",0.75,IF(X394="In Development",0.5,IF(X394="Ready",0.1,0)))))</f>
        <v/>
      </c>
      <c r="Z394" s="30" t="n"/>
      <c r="AA394" s="30" t="inlineStr">
        <is>
          <t>TC-130-C</t>
        </is>
      </c>
      <c r="AB394" s="30" t="inlineStr">
        <is>
          <t>Approved screen design; story reviewed with Travel Agent; dependencies, API contract, role permissions and test data identified.</t>
        </is>
      </c>
      <c r="AC394" s="30" t="inlineStr">
        <is>
          <t>Code reviewed; unit, API, UI, RBAC and integration tests pass; accessibility and responsive states verified; audit evidence captured; product owner accepts in staging.</t>
        </is>
      </c>
      <c r="AD394" s="30" t="n"/>
    </row>
  </sheetData>
  <conditionalFormatting sqref="X5:X394">
    <cfRule type="containsText" priority="1" operator="containsText" dxfId="2" text="Done"/>
    <cfRule type="containsText" priority="2" operator="containsText" dxfId="1" text="Blocked"/>
    <cfRule type="containsText" priority="3" operator="containsText" dxfId="0" text="In Development"/>
  </conditionalFormatting>
  <conditionalFormatting sqref="Y5:Y394">
    <cfRule type="dataBar" priority="4">
      <dataBar>
        <cfvo type="min"/>
        <cfvo type="max"/>
        <color rgb="FF009688"/>
      </dataBar>
    </cfRule>
    <cfRule type="dataBar" priority="5">
      <dataBar>
        <cfvo type="min"/>
        <cfvo type="max"/>
        <color rgb="FF009688"/>
      </dataBar>
    </cfRule>
  </conditionalFormatting>
  <dataValidations count="3">
    <dataValidation sqref="T5:T394" showDropDown="0" showInputMessage="0" showErrorMessage="0" allowBlank="0" type="list">
      <formula1>"Must Have,Should Have,Could Have,Won't Have Now"</formula1>
    </dataValidation>
    <dataValidation sqref="U5:U394" showDropDown="0" showInputMessage="0" showErrorMessage="0" allowBlank="0" type="list">
      <formula1>"MVP,Release 1.1,Release 1.2,Future"</formula1>
    </dataValidation>
    <dataValidation sqref="X5:X394" showDropDown="0" showInputMessage="0" showErrorMessage="0" allowBlank="0" type="list">
      <formula1>"Backlog,Ready,In Development,Code Review,QA,Blocked,Done"</formula1>
    </dataValidation>
  </dataValidation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user</dc:creator>
  <dcterms:created xmlns:dcterms="http://purl.org/dc/terms/" xmlns:xsi="http://www.w3.org/2001/XMLSchema-instance" xsi:type="dcterms:W3CDTF">2026-09-06T15:10:48Z</dcterms:created>
  <dcterms:modified xmlns:dcterms="http://purl.org/dc/terms/" xmlns:xsi="http://www.w3.org/2001/XMLSchema-instance" xsi:type="dcterms:W3CDTF">2026-09-14T06:06:00Z</dcterms:modified>
  <cp:lastModifiedBy>user</cp:lastModifiedBy>
</cp:coreProperties>
</file>